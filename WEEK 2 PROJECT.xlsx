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DA Stat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<sst xmlns="http://schemas.openxmlformats.org/spreadsheetml/2006/main" count="10584" uniqueCount="4337">
  <si>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</si>
  <si>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</si>
  <si>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</si>
  <si>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</si>
  <si>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</si>
  <si>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</si>
  <si>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</si>
  <si>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</si>
  <si>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</si>
  <si>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</si>
  <si>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</si>
  <si>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</si>
  <si>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</si>
  <si>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</si>
  <si>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</si>
  <si>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</si>
  <si>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</si>
  <si>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</si>
  <si>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</si>
  <si>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</si>
  <si>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</si>
  <si>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</si>
  <si>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</si>
  <si>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</si>
  <si>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</si>
  <si>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</si>
  <si>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</si>
  <si>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</si>
  <si>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</si>
  <si>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</si>
  <si>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</si>
  <si>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</si>
  <si>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</si>
  <si>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</si>
  <si>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</si>
  <si>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</si>
  <si>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</si>
  <si>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</si>
  <si>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</si>
  <si>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</si>
  <si>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</si>
  <si>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</si>
  <si>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</si>
  <si>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</si>
  <si>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</si>
  <si>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</si>
  <si>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</si>
  <si>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</si>
  <si>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</si>
  <si>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</si>
  <si>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</si>
  <si>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</si>
  <si>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</si>
  <si>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</si>
  <si>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</si>
  <si>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</si>
  <si>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</si>
  <si>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</si>
  <si>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</si>
  <si>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</si>
  <si>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</si>
  <si>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</si>
  <si>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</si>
  <si>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</si>
  <si>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</si>
  <si>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</si>
  <si>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</si>
  <si>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</si>
  <si>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</si>
  <si>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</si>
  <si>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</si>
  <si>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</si>
  <si>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</si>
  <si>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</si>
  <si>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</si>
  <si>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</si>
  <si>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</si>
  <si>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</si>
  <si>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</si>
  <si>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</si>
  <si>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</si>
  <si>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</si>
  <si>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</si>
  <si>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</si>
  <si>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</si>
  <si>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</si>
  <si>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</si>
  <si>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</si>
  <si>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</si>
  <si>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</si>
  <si>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</si>
  <si>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</si>
  <si>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</si>
  <si>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</si>
  <si>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</si>
  <si>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</si>
  <si>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</si>
  <si>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</si>
  <si>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</si>
  <si>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</si>
  <si>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</si>
  <si>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</si>
  <si>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</si>
  <si>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</si>
  <si>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</si>
  <si>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</si>
  <si>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</si>
  <si>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</si>
  <si>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</si>
  <si>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</si>
  <si>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</si>
  <si>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</si>
  <si>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</si>
  <si>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</si>
  <si>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</si>
  <si>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</si>
  <si>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</si>
  <si>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</si>
  <si>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</si>
  <si>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</si>
  <si>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</si>
  <si>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</si>
  <si>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</si>
  <si>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</si>
  <si>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</si>
  <si>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</si>
  <si>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</si>
  <si>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</si>
  <si>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</si>
  <si>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</si>
  <si>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</si>
  <si>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</si>
  <si>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</si>
  <si>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</si>
  <si>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</si>
  <si>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</si>
  <si>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</si>
  <si>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</si>
  <si>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</si>
  <si>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</si>
  <si>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</si>
  <si>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</si>
  <si>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</si>
  <si>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</si>
  <si>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</si>
  <si>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</si>
  <si>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</si>
  <si>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</si>
  <si>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</si>
  <si>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</si>
  <si>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</si>
  <si>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</si>
  <si>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</si>
  <si>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</si>
  <si>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</si>
  <si>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</si>
  <si>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</si>
  <si>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</si>
  <si>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</si>
  <si>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</si>
  <si>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</si>
  <si>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</si>
  <si>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</si>
  <si>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</si>
  <si>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</si>
  <si>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</si>
  <si>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</si>
  <si>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</si>
  <si>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</si>
  <si>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</si>
  <si>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</si>
  <si>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</si>
  <si>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</si>
  <si>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</si>
  <si>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</si>
  <si>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</si>
  <si>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</si>
  <si>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</si>
  <si>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</si>
  <si>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</si>
  <si>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</si>
  <si>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</si>
  <si>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</si>
  <si>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</si>
  <si>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</si>
  <si>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</si>
  <si>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</si>
  <si>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</si>
  <si>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</si>
  <si>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</si>
  <si>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</si>
  <si>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</si>
  <si>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</si>
  <si>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</si>
  <si>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</si>
  <si>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</si>
  <si>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</si>
  <si>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</si>
  <si>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</si>
  <si>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</si>
  <si>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</si>
  <si>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</si>
  <si>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</si>
  <si>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</si>
  <si>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</si>
  <si>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</si>
  <si>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</si>
  <si>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</si>
  <si>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</si>
  <si>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</si>
  <si>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</si>
  <si>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</si>
  <si>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</si>
  <si>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</si>
  <si>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</si>
  <si>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</si>
  <si>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</si>
  <si>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</si>
  <si>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</si>
  <si>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</si>
  <si>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</si>
  <si>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</si>
  <si>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</si>
  <si>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</si>
  <si>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</si>
  <si>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</si>
  <si>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</si>
  <si>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</si>
  <si>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</si>
  <si>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</si>
  <si>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</si>
  <si>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</si>
  <si>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</si>
  <si>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</si>
  <si>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</si>
  <si>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</si>
  <si>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</si>
  <si>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</si>
  <si>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</si>
  <si>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</si>
  <si>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</si>
  <si>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</si>
  <si>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</si>
  <si>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</si>
  <si>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</si>
  <si>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</si>
  <si>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</si>
  <si>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</si>
  <si>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</si>
  <si>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</si>
  <si>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</si>
  <si>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</si>
  <si>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</si>
  <si>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</si>
  <si>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</si>
  <si>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</si>
  <si>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</si>
  <si>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</si>
  <si>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</si>
  <si>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</si>
  <si>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</si>
  <si>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</si>
  <si>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</si>
  <si>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</si>
  <si>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</si>
  <si>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</si>
  <si>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</si>
  <si>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</si>
  <si>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</si>
  <si>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</si>
  <si>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</si>
  <si>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</si>
  <si>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</si>
  <si>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</si>
  <si>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</si>
  <si>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</si>
  <si>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</si>
  <si>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</si>
  <si>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</si>
  <si>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</si>
  <si>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</si>
  <si>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</si>
  <si>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</si>
  <si>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</si>
  <si>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</si>
  <si>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</si>
  <si>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</si>
  <si>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</si>
  <si>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</si>
  <si>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</si>
  <si>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</si>
  <si>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</si>
  <si>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</si>
  <si>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</si>
  <si>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</si>
  <si>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</si>
  <si>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</si>
  <si>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</si>
  <si>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</si>
  <si>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</si>
  <si>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</si>
  <si>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</si>
  <si>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</si>
  <si>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</si>
  <si>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</si>
  <si>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</si>
  <si>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</si>
  <si>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</si>
  <si>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</si>
  <si>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</si>
  <si>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</si>
  <si>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</si>
  <si>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</si>
  <si>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</si>
  <si>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</si>
  <si>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</si>
  <si>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</si>
  <si>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</si>
  <si>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</si>
  <si>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</si>
  <si>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</si>
  <si>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</si>
  <si>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</si>
  <si>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</si>
  <si>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</si>
  <si>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</si>
  <si>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</si>
  <si>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</si>
  <si>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</si>
  <si>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</si>
  <si>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</si>
  <si>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</si>
  <si>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</si>
  <si>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</si>
  <si>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</si>
  <si>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</si>
  <si>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</si>
  <si>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</si>
  <si>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</si>
  <si>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</si>
  <si>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</si>
  <si>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</si>
  <si>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</si>
  <si>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</si>
  <si>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</si>
  <si>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</si>
  <si>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</si>
  <si>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</si>
  <si>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</si>
  <si>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</si>
  <si>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</si>
  <si>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</si>
  <si>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</si>
  <si>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</si>
  <si>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</si>
  <si>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</si>
  <si>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</si>
  <si>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</si>
  <si>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</si>
  <si>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</si>
  <si>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</si>
  <si>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</si>
  <si>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</si>
  <si>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</si>
  <si>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</si>
  <si>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</si>
  <si>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</si>
  <si>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</si>
  <si>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</si>
  <si>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</si>
  <si>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</si>
  <si>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</si>
  <si>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</si>
  <si>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</si>
  <si>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</si>
  <si>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</si>
  <si>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</si>
  <si>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</si>
  <si>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</si>
  <si>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</si>
  <si>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</si>
  <si>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</si>
  <si>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</si>
  <si>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</si>
  <si>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</si>
  <si>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</si>
  <si>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</si>
  <si>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</si>
  <si>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</si>
  <si>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</si>
  <si>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</si>
  <si>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</si>
  <si>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</si>
  <si>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</si>
  <si>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</si>
  <si>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</si>
  <si>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</si>
  <si>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</si>
  <si>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</si>
  <si>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</si>
  <si>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</si>
  <si>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</si>
  <si>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</si>
  <si>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</si>
  <si>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</si>
  <si>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</si>
  <si>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</si>
  <si>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</si>
  <si>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</si>
  <si>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</si>
  <si>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</si>
  <si>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</si>
  <si>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</si>
  <si>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</si>
  <si>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</si>
  <si>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</si>
  <si>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</si>
  <si>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</si>
  <si>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</si>
  <si>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</si>
  <si>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</si>
  <si>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</si>
  <si>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</si>
  <si>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</si>
  <si>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</si>
  <si>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</si>
  <si>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</si>
  <si>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</si>
  <si>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</si>
  <si>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</si>
  <si>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</si>
  <si>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</si>
  <si>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</si>
  <si>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</si>
  <si>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</si>
  <si>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</si>
  <si>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</si>
  <si>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</si>
  <si>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</si>
  <si>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</si>
  <si>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</si>
  <si>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</si>
  <si>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</si>
  <si>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</si>
  <si>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</si>
  <si>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</si>
  <si>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</si>
  <si>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</si>
  <si>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</si>
  <si>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</si>
  <si>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</si>
  <si>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</si>
  <si>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</si>
  <si>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</si>
  <si>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</si>
  <si>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</si>
  <si>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</si>
  <si>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</si>
  <si>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</si>
  <si>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</si>
  <si>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</si>
  <si>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</si>
  <si>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</si>
  <si>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</si>
  <si>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</si>
  <si>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</si>
  <si>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</si>
  <si>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</si>
  <si>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</si>
  <si>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</si>
  <si>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</si>
  <si>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</si>
  <si>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</si>
  <si>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</si>
  <si>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</si>
  <si>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</si>
  <si>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</si>
  <si>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</si>
  <si>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</si>
  <si>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</si>
  <si>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</si>
  <si>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</si>
  <si>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</si>
  <si>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</si>
  <si>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</si>
  <si>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</si>
  <si>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</si>
  <si>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</si>
  <si>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</si>
  <si>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</si>
  <si>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</si>
  <si>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</si>
  <si>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</si>
  <si>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</si>
  <si>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</si>
  <si>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</si>
  <si>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</si>
  <si>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</si>
  <si>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</si>
  <si>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</si>
  <si>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</si>
  <si>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</si>
  <si>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</si>
  <si>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</si>
  <si>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</si>
  <si>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</si>
  <si>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</si>
  <si>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</si>
  <si>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</si>
  <si>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</si>
  <si>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</si>
  <si>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</si>
  <si>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</si>
  <si>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</si>
  <si>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</si>
  <si>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</si>
  <si>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</si>
  <si>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</si>
  <si>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</si>
  <si>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</si>
  <si>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</si>
  <si>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</si>
  <si>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</si>
  <si>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</si>
  <si>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</si>
  <si>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</si>
  <si>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</si>
  <si>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</si>
  <si>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</si>
  <si>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</si>
  <si>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</si>
  <si>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</si>
  <si>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</si>
  <si>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</si>
  <si>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</si>
  <si>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</si>
  <si>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</si>
  <si>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</si>
  <si>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</si>
  <si>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</si>
  <si>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</si>
  <si>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</si>
  <si>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</si>
  <si>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</si>
  <si>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</si>
  <si>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</si>
  <si>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</si>
  <si>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</si>
  <si>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</si>
  <si>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</si>
  <si>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</si>
  <si>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</si>
  <si>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</si>
  <si>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</si>
  <si>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</si>
  <si>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</si>
  <si>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</si>
  <si>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</si>
  <si>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</si>
  <si>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</si>
  <si>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</si>
  <si>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</si>
  <si>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</si>
  <si>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</si>
  <si>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</si>
  <si>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</si>
  <si>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</si>
  <si>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</si>
  <si>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</si>
  <si>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</si>
  <si>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</si>
  <si>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</si>
  <si>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</si>
  <si>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</si>
  <si>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</si>
  <si>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</si>
  <si>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</si>
  <si>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</si>
  <si>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</si>
  <si>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</si>
  <si>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</si>
  <si>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</si>
  <si>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</si>
  <si>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</si>
  <si>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</si>
  <si>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</si>
  <si>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</si>
  <si>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</si>
  <si>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</si>
  <si>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</si>
  <si>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</si>
  <si>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</si>
  <si>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</si>
  <si>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</si>
  <si>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</si>
  <si>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</si>
  <si>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</si>
  <si>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</si>
  <si>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</si>
  <si>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</si>
  <si>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</si>
  <si>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</si>
  <si>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</si>
  <si>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</si>
  <si>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</si>
  <si>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</si>
  <si>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</si>
  <si>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</si>
  <si>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</si>
  <si>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</si>
  <si>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</si>
  <si>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</si>
  <si>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</si>
  <si>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</si>
  <si>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</si>
  <si>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</si>
  <si>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</si>
  <si>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</si>
  <si>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</si>
  <si>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</si>
  <si>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</si>
  <si>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</si>
  <si>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</si>
  <si>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</si>
  <si>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</si>
  <si>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</si>
  <si>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</si>
  <si>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</si>
  <si>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</si>
  <si>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</si>
  <si>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</si>
  <si>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</si>
  <si>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</si>
  <si>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</si>
  <si>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</si>
  <si>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</si>
  <si>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</si>
  <si>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</si>
  <si>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</si>
  <si>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</si>
  <si>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</si>
  <si>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</si>
  <si>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</si>
  <si>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</si>
  <si>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</si>
  <si>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</si>
  <si>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</si>
  <si>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</si>
  <si>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</si>
  <si>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</si>
  <si>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</si>
  <si>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</si>
  <si>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</si>
  <si>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</si>
  <si>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</si>
  <si>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</si>
  <si>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</si>
  <si>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</si>
  <si>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</si>
  <si>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</si>
  <si>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</si>
  <si>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</si>
  <si>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</si>
  <si>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</si>
  <si>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</si>
  <si>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</si>
  <si>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</si>
  <si>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</si>
  <si>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</si>
  <si>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</si>
  <si>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</si>
  <si>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</si>
  <si>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</si>
  <si>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</si>
  <si>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</si>
  <si>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</si>
  <si>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</si>
  <si>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</si>
  <si>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</si>
  <si>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</si>
  <si>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</si>
  <si>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</si>
  <si>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</si>
  <si>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</si>
  <si>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</si>
  <si>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</si>
  <si>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</si>
  <si>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</si>
  <si>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</si>
  <si>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</si>
  <si>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</si>
  <si>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</si>
  <si>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</si>
  <si>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</si>
  <si>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</si>
  <si>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</si>
  <si>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</si>
  <si>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</si>
  <si>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</si>
  <si>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</si>
  <si>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</si>
  <si>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</si>
  <si>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</si>
  <si>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</si>
  <si>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</si>
  <si>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</si>
  <si>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</si>
  <si>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</si>
  <si>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</si>
  <si>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</si>
  <si>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</si>
  <si>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</si>
  <si>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</si>
  <si>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</si>
  <si>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</si>
  <si>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</si>
  <si>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</si>
  <si>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</si>
  <si>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</si>
  <si>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</si>
  <si>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</si>
  <si>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</si>
  <si>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</si>
  <si>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</si>
  <si>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</si>
  <si>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</si>
  <si>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</si>
  <si>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</si>
  <si>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</si>
  <si>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</si>
  <si>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</si>
  <si>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</si>
  <si>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</si>
  <si>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</si>
  <si>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</si>
  <si>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</si>
  <si>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</si>
  <si>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</si>
  <si>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</si>
  <si>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</si>
  <si>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</si>
  <si>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</si>
  <si>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</si>
  <si>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</si>
  <si>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</si>
  <si>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</si>
  <si>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</si>
  <si>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</si>
  <si>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</si>
  <si>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</si>
  <si>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</si>
  <si>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</si>
  <si>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</si>
  <si>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</si>
  <si>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</si>
  <si>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</si>
  <si>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</si>
  <si>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</si>
  <si>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</si>
  <si>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</si>
  <si>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</si>
  <si>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</si>
  <si>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</si>
  <si>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</si>
  <si>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</si>
  <si>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</si>
  <si>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</si>
  <si>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</si>
  <si>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</si>
  <si>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</si>
  <si>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</si>
  <si>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</si>
  <si>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</si>
  <si>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</si>
  <si>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</si>
  <si>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</si>
  <si>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</si>
  <si>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</si>
  <si>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</si>
  <si>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</si>
  <si>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</si>
  <si>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</si>
  <si>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</si>
  <si>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</si>
  <si>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</si>
  <si>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</si>
  <si>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</si>
  <si>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</si>
  <si>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</si>
  <si>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</si>
  <si>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</si>
  <si>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</si>
  <si>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</si>
  <si>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</si>
  <si>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</si>
  <si>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</si>
  <si>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</si>
  <si>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</si>
  <si>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</si>
  <si>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</si>
  <si>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</si>
  <si>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</si>
  <si>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</si>
  <si>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</si>
  <si>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</si>
  <si>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</si>
  <si>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</si>
  <si>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</si>
  <si>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</si>
  <si>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</si>
  <si>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</si>
  <si>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</si>
  <si>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</si>
  <si>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</si>
  <si>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</si>
  <si>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</si>
  <si>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</si>
  <si>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</si>
  <si>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</si>
  <si>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</si>
  <si>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</si>
  <si>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</si>
  <si>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</si>
  <si>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</si>
  <si>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</si>
  <si>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</si>
  <si>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</si>
  <si>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</si>
  <si>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</si>
  <si>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</si>
  <si>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</si>
  <si>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</si>
  <si>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</si>
  <si>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</si>
  <si>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</si>
  <si>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</si>
  <si>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</si>
  <si>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</si>
  <si>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</si>
  <si>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</si>
  <si>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</si>
  <si>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</si>
  <si>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</si>
  <si>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</si>
  <si>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</si>
  <si>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</si>
  <si>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</si>
  <si>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</si>
  <si>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</si>
  <si>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</si>
  <si>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</si>
  <si>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</si>
  <si>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</si>
  <si>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</si>
  <si>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</si>
  <si>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</si>
  <si>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</si>
  <si>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</si>
  <si>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</si>
  <si>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</si>
  <si>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</si>
  <si>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</si>
  <si>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</si>
  <si>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</si>
  <si>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</si>
  <si>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</si>
  <si>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</si>
  <si>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</si>
  <si>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</si>
  <si>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</si>
  <si>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</si>
  <si>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</si>
  <si>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</si>
  <si>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</si>
  <si>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</si>
  <si>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</si>
  <si>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</si>
  <si>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</si>
  <si>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</si>
  <si>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</si>
  <si>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</si>
  <si>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</si>
  <si>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</si>
  <si>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</si>
  <si>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</si>
  <si>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</si>
  <si>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</si>
  <si>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</si>
  <si>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</si>
  <si>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</si>
  <si>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</si>
  <si>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</si>
  <si>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</si>
  <si>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</si>
  <si>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</si>
  <si>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</si>
  <si>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</si>
  <si>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</si>
  <si>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</si>
  <si>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</si>
  <si>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</si>
  <si>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</si>
  <si>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</si>
  <si>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</si>
  <si>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</si>
  <si>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</si>
  <si>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</si>
  <si>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</si>
  <si>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</si>
  <si>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</si>
  <si>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</si>
  <si>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</si>
  <si>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</si>
  <si>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</si>
  <si>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</si>
  <si>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</si>
  <si>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</si>
  <si>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</si>
  <si>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</si>
  <si>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</si>
  <si>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</si>
  <si>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</si>
  <si>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</si>
  <si>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</si>
  <si>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</si>
  <si>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</si>
  <si>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</si>
  <si>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</si>
  <si>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</si>
  <si>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</si>
  <si>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</si>
  <si>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</si>
  <si>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</si>
  <si>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</si>
  <si>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</si>
  <si>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</si>
  <si>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</si>
  <si>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</si>
  <si>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</si>
  <si>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</si>
  <si>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</si>
  <si>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</si>
  <si>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</si>
  <si>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</si>
  <si>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</si>
  <si>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</si>
  <si>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</si>
  <si>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</si>
  <si>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</si>
  <si>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</si>
  <si>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</si>
  <si>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</si>
  <si>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</si>
  <si>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</si>
  <si>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</si>
  <si>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</si>
  <si>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</si>
  <si>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</si>
  <si>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</si>
  <si>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</si>
  <si>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</si>
  <si>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</si>
  <si>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</si>
  <si>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</si>
  <si>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</si>
  <si>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</si>
  <si>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</si>
  <si>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</si>
  <si>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</si>
  <si>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</si>
  <si>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</si>
  <si>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</si>
  <si>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</si>
  <si>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</si>
  <si>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</si>
  <si>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</si>
  <si>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</si>
  <si>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</si>
  <si>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</si>
  <si>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</si>
  <si>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</si>
  <si>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</si>
  <si>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</si>
  <si>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</si>
  <si>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</si>
  <si>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</si>
  <si>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</si>
  <si>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</si>
  <si>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</si>
  <si>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</si>
  <si>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</si>
  <si>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</si>
  <si>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</si>
  <si>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</si>
  <si>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</si>
  <si>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</si>
  <si>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</si>
  <si>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</si>
  <si>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</si>
  <si>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</si>
  <si>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</si>
  <si>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</si>
  <si>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</si>
  <si>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</si>
  <si>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</si>
  <si>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</si>
  <si>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</si>
  <si>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</si>
  <si>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</si>
  <si>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</si>
  <si>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</si>
  <si>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</si>
  <si>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</si>
  <si>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</si>
  <si>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</si>
  <si>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</si>
  <si>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</si>
  <si>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</si>
  <si>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</si>
  <si>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</si>
  <si>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</si>
  <si>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</si>
  <si>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</si>
  <si>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</si>
  <si>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</si>
  <si>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</si>
  <si>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</si>
  <si>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</si>
  <si>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</si>
  <si>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</si>
  <si>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</si>
  <si>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</si>
  <si>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</si>
  <si>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</si>
  <si>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</si>
  <si>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</si>
  <si>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</si>
  <si>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</si>
  <si>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</si>
  <si>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</si>
  <si>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</si>
  <si>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</si>
  <si>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</si>
  <si>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</si>
  <si>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</si>
  <si>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</si>
  <si>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</si>
  <si>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</si>
  <si>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</si>
  <si>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</si>
  <si>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</si>
  <si>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</si>
  <si>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</si>
  <si>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</si>
  <si>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</si>
  <si>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</si>
  <si>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</si>
  <si>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</si>
  <si>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</si>
  <si>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</si>
  <si>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</si>
  <si>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</si>
  <si>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</si>
  <si>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</si>
  <si>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</si>
  <si>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</si>
  <si>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</si>
  <si>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</si>
  <si>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</si>
  <si>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</si>
  <si>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</si>
  <si>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</si>
  <si>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</si>
  <si>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</si>
  <si>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</si>
  <si>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</si>
  <si>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</si>
  <si>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</si>
  <si>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</si>
  <si>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</si>
  <si>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</si>
  <si>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</si>
  <si>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</si>
  <si>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</si>
  <si>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</si>
  <si>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</si>
  <si>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</si>
  <si>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</si>
  <si>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</si>
  <si>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</si>
  <si>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</si>
  <si>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</si>
  <si>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</si>
  <si>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</si>
  <si>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</si>
  <si>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</si>
  <si>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</si>
  <si>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</si>
  <si>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</si>
  <si>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</si>
  <si>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</si>
  <si>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</si>
  <si>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</si>
  <si>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</si>
  <si>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</si>
  <si>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</si>
  <si>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</si>
  <si>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</si>
  <si>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</si>
  <si>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</si>
  <si>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</si>
  <si>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</si>
  <si>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</si>
  <si>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</si>
  <si>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</si>
  <si>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</si>
  <si>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</si>
  <si>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</si>
  <si>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</si>
  <si>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</si>
  <si>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</si>
  <si>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</si>
  <si>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</si>
  <si>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</si>
  <si>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</si>
  <si>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</si>
  <si>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</si>
  <si>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</si>
  <si>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</si>
  <si>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</si>
  <si>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</si>
  <si>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</si>
  <si>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</si>
  <si>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</si>
  <si>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</si>
  <si>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</si>
  <si>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</si>
  <si>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</si>
  <si>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</si>
  <si>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</si>
  <si>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</si>
  <si>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</si>
  <si>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</si>
  <si>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</si>
  <si>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</si>
  <si>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</si>
  <si>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</si>
  <si>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</si>
  <si>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</si>
  <si>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</si>
  <si>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</si>
  <si>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</si>
  <si>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</si>
  <si>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</si>
  <si>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</si>
  <si>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</si>
  <si>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</si>
  <si>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</si>
  <si>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</si>
  <si>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</si>
  <si>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</si>
  <si>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</si>
  <si>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</si>
  <si>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</si>
  <si>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</si>
  <si>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</si>
  <si>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</si>
  <si>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</si>
  <si>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</si>
  <si>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</si>
  <si>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</si>
  <si>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</si>
  <si>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</si>
  <si>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</si>
  <si>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</si>
  <si>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</si>
  <si>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</si>
  <si>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</si>
  <si>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</si>
  <si>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</si>
  <si>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</si>
  <si>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</si>
  <si>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</si>
  <si>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</si>
  <si>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</si>
  <si>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</si>
  <si>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</si>
  <si>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</si>
  <si>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</si>
  <si>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</si>
  <si>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</si>
  <si>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</si>
  <si>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</si>
  <si>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</si>
  <si>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</si>
  <si>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</si>
  <si>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</si>
  <si>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</si>
  <si>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</si>
  <si>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</si>
  <si>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</si>
  <si>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</si>
  <si>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</si>
  <si>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</si>
  <si>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</si>
  <si>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</si>
  <si>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</si>
  <si>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</si>
  <si>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</si>
  <si>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</si>
  <si>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</si>
  <si>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</si>
  <si>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</si>
  <si>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</si>
  <si>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</si>
  <si>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</si>
  <si>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</si>
  <si>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</si>
  <si>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</si>
  <si>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</si>
  <si>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</si>
  <si>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</si>
  <si>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</si>
  <si>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</si>
  <si>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</si>
  <si>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</si>
  <si>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</si>
  <si>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</si>
  <si>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</si>
  <si>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</si>
  <si>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</si>
  <si>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</si>
  <si>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</si>
  <si>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</si>
  <si>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</si>
  <si>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</si>
  <si>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</si>
  <si>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</si>
  <si>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</si>
  <si>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</si>
  <si>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</si>
  <si>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</si>
  <si>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</si>
  <si>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</si>
  <si>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</si>
  <si>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</si>
  <si>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</si>
  <si>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</si>
  <si>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</si>
  <si>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</si>
  <si>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</si>
  <si>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</si>
  <si>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</si>
  <si>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</si>
  <si>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</si>
  <si>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</si>
  <si>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</si>
  <si>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</si>
  <si>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</si>
  <si>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</si>
  <si>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</si>
  <si>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</si>
  <si>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</si>
  <si>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</si>
  <si>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</si>
  <si>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</si>
  <si>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</si>
  <si>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</si>
  <si>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</si>
  <si>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</si>
  <si>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</si>
  <si>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</si>
  <si>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</si>
  <si>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</si>
  <si>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</si>
  <si>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</si>
  <si>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</si>
  <si>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</si>
  <si>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</si>
  <si>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</si>
  <si>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</si>
  <si>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</si>
  <si>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</si>
  <si>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</si>
  <si>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</si>
  <si>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</si>
  <si>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</si>
  <si>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</si>
  <si>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</si>
  <si>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</si>
  <si>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</si>
  <si>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</si>
  <si>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</si>
  <si>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</si>
  <si>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</si>
  <si>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</si>
  <si>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</si>
  <si>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</si>
  <si>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</si>
  <si>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</si>
  <si>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</si>
  <si>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</si>
  <si>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</si>
  <si>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</si>
  <si>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</si>
  <si>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</si>
  <si>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</si>
  <si>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</si>
  <si>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</si>
  <si>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</si>
  <si>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</si>
  <si>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</si>
  <si>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</si>
  <si>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</si>
  <si>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</si>
  <si>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</si>
  <si>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</si>
  <si>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</si>
  <si>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</si>
  <si>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</si>
  <si>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</si>
  <si>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</si>
  <si>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</si>
  <si>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</si>
  <si>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</si>
  <si>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</si>
  <si>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</si>
  <si>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</si>
  <si>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</si>
  <si>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</si>
  <si>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</si>
  <si>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</si>
  <si>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</si>
  <si>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</si>
  <si>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</si>
  <si>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</si>
  <si>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</si>
  <si>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</si>
  <si>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</si>
  <si>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</si>
  <si>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</si>
  <si>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</si>
  <si>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</si>
  <si>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</si>
  <si>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</si>
  <si>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</si>
  <si>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</si>
  <si>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</si>
  <si>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</si>
  <si>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</si>
  <si>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</si>
  <si>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</si>
  <si>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</si>
  <si>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</si>
  <si>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</si>
  <si>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</si>
  <si>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</si>
  <si>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</si>
  <si>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</si>
  <si>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</si>
  <si>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</si>
  <si>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</si>
  <si>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</si>
  <si>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</si>
  <si>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</si>
  <si>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</si>
  <si>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</si>
  <si>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</si>
  <si>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</si>
  <si>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</si>
  <si>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</si>
  <si>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</si>
  <si>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</si>
  <si>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</si>
  <si>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</si>
  <si>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</si>
  <si>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</si>
  <si>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</si>
  <si>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</si>
  <si>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</si>
  <si>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</si>
  <si>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</si>
  <si>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</si>
  <si>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</si>
  <si>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</si>
  <si>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</si>
  <si>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</si>
  <si>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</si>
  <si>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</si>
  <si>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</si>
  <si>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</si>
  <si>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</si>
  <si>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</si>
  <si>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</si>
  <si>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</si>
  <si>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</si>
  <si>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</si>
  <si>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</si>
  <si>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</si>
  <si>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</si>
  <si>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</si>
  <si>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</si>
  <si>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</si>
  <si>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</si>
  <si>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</si>
  <si>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</si>
  <si>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</si>
  <si>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</si>
  <si>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</si>
  <si>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</si>
  <si>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</si>
  <si>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</si>
  <si>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</si>
  <si>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</si>
  <si>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</si>
  <si>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</si>
  <si>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</si>
  <si>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</si>
  <si>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</si>
  <si>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</si>
  <si>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</si>
  <si>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</si>
  <si>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</si>
  <si>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</si>
  <si>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</si>
  <si>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</si>
  <si>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</si>
  <si>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</si>
  <si>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</si>
  <si>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</si>
  <si>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</si>
  <si>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</si>
  <si>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</si>
  <si>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</si>
  <si>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</si>
  <si>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</si>
  <si>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</si>
  <si>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</si>
  <si>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</si>
  <si>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</si>
  <si>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</si>
  <si>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</si>
  <si>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</si>
  <si>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</si>
  <si>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</si>
  <si>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</si>
  <si>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</si>
  <si>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</si>
  <si>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</si>
  <si>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</si>
  <si>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</si>
  <si>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</si>
  <si>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</si>
  <si>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</si>
  <si>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</si>
  <si>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</si>
  <si>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</si>
  <si>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</si>
  <si>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</si>
  <si>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</si>
  <si>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</si>
  <si>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</si>
  <si>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</si>
  <si>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</si>
  <si>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</si>
  <si>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</si>
  <si>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</si>
  <si>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</si>
  <si>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</si>
  <si>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</si>
  <si>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</si>
  <si>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</si>
  <si>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</si>
  <si>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</si>
  <si>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</si>
  <si>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</si>
  <si>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</si>
  <si>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</si>
  <si>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</si>
  <si>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</si>
  <si>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</si>
  <si>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</si>
  <si>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</si>
  <si>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</si>
  <si>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</si>
  <si>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</si>
  <si>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</si>
  <si>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</si>
  <si>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</si>
  <si>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</si>
  <si>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</si>
  <si>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</si>
  <si>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</si>
  <si>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</si>
  <si>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</si>
  <si>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</si>
  <si>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</si>
  <si>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</si>
  <si>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</si>
  <si>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</si>
  <si>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</si>
  <si>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</si>
  <si>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</si>
  <si>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</si>
  <si>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</si>
  <si>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</si>
  <si>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</si>
  <si>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</si>
  <si>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</si>
  <si>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</si>
  <si>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</si>
  <si>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</si>
  <si>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</si>
  <si>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</si>
  <si>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</si>
  <si>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</si>
  <si>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</si>
  <si>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</si>
  <si>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</si>
  <si>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</si>
  <si>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</si>
  <si>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</si>
  <si>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</si>
  <si>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</si>
  <si>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</si>
  <si>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</si>
  <si>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</si>
  <si>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</si>
  <si>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</si>
  <si>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</si>
  <si>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</si>
  <si>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</si>
  <si>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</si>
  <si>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</si>
  <si>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</si>
  <si>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</si>
  <si>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</si>
  <si>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</si>
  <si>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</si>
  <si>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</si>
  <si>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</si>
  <si>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</si>
  <si>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</si>
  <si>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</si>
  <si>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</si>
  <si>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</si>
  <si>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</si>
  <si>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</si>
  <si>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</si>
  <si>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</si>
  <si>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</si>
  <si>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</si>
  <si>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</si>
  <si>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</si>
  <si>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</si>
  <si>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</si>
  <si>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</si>
  <si>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</si>
  <si>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</si>
  <si>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</si>
  <si>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</si>
  <si>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</si>
  <si>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</si>
  <si>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</si>
  <si>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</si>
  <si>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</si>
  <si>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</si>
  <si>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</si>
  <si>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</si>
  <si>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</si>
  <si>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</si>
  <si>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</si>
  <si>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</si>
  <si>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</si>
  <si>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</si>
  <si>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</si>
  <si>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</si>
  <si>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</si>
  <si>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</si>
  <si>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</si>
  <si>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</si>
  <si>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</si>
  <si>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</si>
  <si>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</si>
  <si>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</si>
  <si>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</si>
  <si>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</si>
  <si>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</si>
  <si>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</si>
  <si>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</si>
  <si>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</si>
  <si>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</si>
  <si>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</si>
  <si>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</si>
  <si>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</si>
  <si>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</si>
  <si>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</si>
  <si>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</si>
  <si>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</si>
  <si>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</si>
  <si>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</si>
  <si>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</si>
  <si>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</si>
  <si>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</si>
  <si>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</si>
  <si>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</si>
  <si>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</si>
  <si>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</si>
  <si>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</si>
  <si>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</si>
  <si>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</si>
  <si>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</si>
  <si>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</si>
  <si>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</si>
  <si>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</si>
  <si>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</si>
  <si>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</si>
  <si>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</si>
  <si>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</si>
  <si>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</si>
  <si>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</si>
  <si>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</si>
  <si>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</si>
  <si>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</si>
  <si>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</si>
  <si>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</si>
  <si>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</si>
  <si>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</si>
  <si>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</si>
  <si>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</si>
  <si>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</si>
  <si>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</si>
  <si>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</si>
  <si>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</si>
  <si>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</si>
  <si>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</si>
  <si>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</si>
  <si>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</si>
  <si>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</si>
  <si>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</si>
  <si>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</si>
  <si>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</si>
  <si>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</si>
  <si>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</si>
  <si>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</si>
  <si>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</si>
  <si>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</si>
  <si>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</si>
  <si>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</si>
  <si>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</si>
  <si>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</si>
  <si>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</si>
  <si>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</si>
  <si>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</si>
  <si>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</si>
  <si>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</si>
  <si>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</si>
  <si>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</si>
  <si>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</si>
  <si>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</si>
  <si>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</si>
  <si>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</si>
  <si>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</si>
  <si>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</si>
  <si>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</si>
  <si>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</si>
  <si>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</si>
  <si>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</si>
  <si>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</si>
  <si>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</si>
  <si>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</si>
  <si>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</si>
  <si>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</si>
  <si>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</si>
  <si>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</si>
  <si>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</si>
  <si>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</si>
  <si>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</si>
  <si>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</si>
  <si>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</si>
  <si>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</si>
  <si>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</si>
  <si>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</si>
  <si>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</si>
  <si>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</si>
  <si>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</si>
  <si>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</si>
  <si>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</si>
  <si>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</si>
  <si>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</si>
  <si>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</si>
  <si>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</si>
  <si>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</si>
  <si>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</si>
  <si>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</si>
  <si>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</si>
  <si>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</si>
  <si>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</si>
  <si>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</si>
  <si>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</si>
  <si>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</si>
  <si>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</si>
  <si>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</si>
  <si>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</si>
  <si>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</si>
  <si>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</si>
  <si>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</si>
  <si>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</si>
  <si>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</si>
  <si>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</si>
  <si>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</si>
  <si>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</si>
  <si>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</si>
  <si>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</si>
  <si>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</si>
  <si>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</si>
  <si>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</si>
  <si>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</si>
  <si>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</si>
  <si>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</si>
  <si>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</si>
  <si>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</si>
  <si>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</si>
  <si>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</si>
  <si>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</si>
  <si>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</si>
  <si>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</si>
  <si>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</si>
  <si>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</si>
  <si>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</si>
  <si>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</si>
  <si>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</si>
  <si>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</si>
  <si>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</si>
  <si>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</si>
  <si>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</si>
  <si>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</si>
  <si>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</si>
  <si>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</si>
  <si>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</si>
  <si>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</si>
  <si>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</si>
  <si>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</si>
  <si>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</si>
  <si>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</si>
  <si>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</si>
  <si>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</si>
  <si>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</si>
  <si>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</si>
  <si>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</si>
  <si>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</si>
  <si>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</si>
  <si>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</si>
  <si>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</si>
  <si>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</si>
  <si>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</si>
  <si>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</si>
  <si>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</si>
  <si>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</si>
  <si>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</si>
  <si>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</si>
  <si>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</si>
  <si>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</si>
  <si>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</si>
  <si>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</si>
  <si>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</si>
  <si>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</si>
  <si>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</si>
  <si>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</si>
  <si>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</si>
  <si>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</si>
  <si>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</si>
  <si>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</si>
  <si>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</si>
  <si>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</si>
  <si>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</si>
  <si>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</si>
  <si>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</si>
  <si>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</si>
  <si>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</si>
  <si>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</si>
  <si>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</si>
  <si>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</si>
  <si>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</si>
  <si>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</si>
  <si>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</si>
  <si>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</si>
  <si>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</si>
  <si>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</si>
  <si>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</si>
  <si>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</si>
  <si>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</si>
  <si>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</si>
  <si>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</si>
  <si>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</si>
  <si>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</si>
  <si>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</si>
  <si>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</si>
  <si>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</si>
  <si>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</si>
  <si>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</si>
  <si>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</si>
  <si>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</si>
  <si>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</si>
  <si>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</si>
  <si>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</si>
  <si>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</si>
  <si>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</si>
  <si>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</si>
  <si>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</si>
  <si>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</si>
  <si>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</si>
  <si>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</si>
  <si>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</si>
  <si>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</si>
  <si>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</si>
  <si>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</si>
  <si>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</si>
  <si>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</si>
  <si>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</si>
  <si>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</si>
  <si>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</si>
  <si>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</si>
  <si>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</si>
  <si>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</si>
  <si>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</si>
  <si>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</si>
  <si>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</si>
  <si>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</si>
  <si>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</si>
  <si>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</si>
  <si>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</si>
  <si>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</si>
  <si>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</si>
  <si>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</si>
  <si>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</si>
  <si>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</si>
  <si>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</si>
  <si>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</si>
  <si>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</si>
  <si>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</si>
  <si>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</si>
  <si>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</si>
  <si>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</si>
  <si>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</si>
  <si>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</si>
  <si>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</si>
  <si>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</si>
  <si>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</si>
  <si>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</si>
  <si>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</si>
  <si>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</si>
  <si>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</si>
  <si>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</si>
  <si>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</si>
  <si>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</si>
  <si>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</si>
  <si>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</si>
  <si>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</si>
  <si>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</si>
  <si>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</si>
  <si>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</si>
  <si>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</si>
  <si>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</si>
  <si>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</si>
  <si>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</si>
  <si>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</si>
  <si>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</si>
  <si>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</si>
  <si>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</si>
  <si>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</si>
  <si>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</si>
  <si>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</si>
  <si>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</si>
  <si>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</si>
  <si>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</si>
  <si>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</si>
  <si>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</si>
  <si>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</si>
  <si>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</si>
  <si>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</si>
  <si>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</si>
  <si>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</si>
  <si>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</si>
  <si>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</si>
  <si>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</si>
  <si>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</si>
  <si>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</si>
  <si>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</si>
  <si>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</si>
  <si>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</si>
  <si>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</si>
  <si>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</si>
  <si>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</si>
  <si>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</si>
  <si>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</si>
  <si>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</si>
  <si>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</si>
  <si>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</si>
  <si>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</si>
  <si>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</si>
  <si>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</si>
  <si>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</si>
  <si>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</si>
  <si>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</si>
  <si>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</si>
  <si>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</si>
  <si>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</si>
  <si>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</si>
  <si>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</si>
  <si>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</si>
  <si>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</si>
  <si>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</si>
  <si>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</si>
  <si>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</si>
  <si>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</si>
  <si>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</si>
  <si>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</si>
  <si>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</si>
  <si>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</si>
  <si>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</si>
  <si>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</si>
  <si>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</si>
  <si>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</si>
  <si>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</si>
  <si>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</si>
  <si>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</si>
  <si>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</si>
  <si>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</si>
  <si>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</si>
  <si>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</si>
  <si>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</si>
  <si>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</si>
  <si>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</si>
  <si>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</si>
  <si>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</si>
  <si>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</si>
  <si>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</si>
  <si>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</si>
  <si>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</si>
  <si>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</si>
  <si>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</si>
  <si>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</si>
  <si>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</si>
  <si>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</si>
  <si>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</si>
  <si>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</si>
  <si>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</si>
  <si>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</si>
  <si>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</si>
  <si>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</si>
  <si>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</si>
  <si>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</si>
  <si>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</si>
  <si>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</si>
  <si>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</si>
  <si>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</si>
  <si>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</si>
  <si>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</si>
  <si>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</si>
  <si>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</si>
  <si>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</si>
  <si>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</si>
  <si>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</si>
  <si>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</si>
  <si>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</si>
  <si>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</si>
  <si>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</si>
  <si>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</si>
  <si>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</si>
  <si>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</si>
  <si>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</si>
  <si>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</si>
  <si>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</si>
  <si>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</si>
  <si>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</si>
  <si>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</si>
  <si>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</si>
  <si>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</si>
  <si>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</si>
  <si>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</si>
  <si>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</si>
  <si>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</si>
  <si>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</si>
  <si>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</si>
  <si>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</si>
  <si>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</si>
  <si>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</si>
  <si>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</si>
  <si>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</si>
  <si>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</si>
  <si>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</si>
  <si>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</si>
  <si>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</si>
  <si>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</si>
  <si>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</si>
  <si>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</si>
  <si>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</si>
  <si>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</si>
  <si>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</si>
  <si>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</si>
  <si>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</si>
  <si>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</si>
  <si>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</si>
  <si>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</si>
  <si>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</si>
  <si>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</si>
  <si>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</si>
  <si>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</si>
  <si>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</si>
  <si>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</si>
  <si>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</si>
  <si>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</si>
  <si>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</si>
  <si>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</si>
  <si>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</si>
  <si>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</si>
  <si>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</si>
  <si>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</si>
  <si>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</si>
  <si>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</si>
  <si>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</si>
  <si>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</si>
  <si>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</si>
  <si>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</si>
  <si>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</si>
  <si>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</si>
  <si>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</si>
  <si>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</si>
  <si>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</si>
  <si>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</si>
  <si>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</si>
  <si>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</si>
  <si>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</si>
  <si>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</si>
  <si>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</si>
  <si>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</si>
  <si>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</si>
  <si>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</si>
  <si>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</si>
  <si>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</si>
  <si>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</si>
  <si>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</si>
  <si>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</si>
  <si>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</si>
  <si>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</si>
  <si>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</si>
  <si>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</si>
  <si>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</si>
  <si>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</si>
  <si>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</si>
  <si>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</si>
  <si>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</si>
  <si>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</si>
  <si>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</si>
  <si>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</si>
  <si>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</si>
  <si>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</si>
  <si>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</si>
  <si>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</si>
  <si>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</si>
  <si>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</si>
  <si>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</si>
  <si>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</si>
  <si>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</si>
  <si>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</si>
  <si>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</si>
  <si>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</si>
  <si>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</si>
  <si>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</si>
  <si>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</si>
  <si>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</si>
  <si>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</si>
  <si>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</si>
  <si>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</si>
  <si>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</si>
  <si>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</si>
  <si>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</si>
  <si>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</si>
  <si>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</si>
  <si>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</si>
  <si>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</si>
  <si>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</si>
  <si>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</si>
  <si>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</si>
  <si>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</si>
  <si>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</si>
  <si>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</si>
  <si>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</si>
  <si>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</si>
  <si>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</si>
  <si>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</si>
  <si>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</si>
  <si>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</si>
  <si>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</si>
  <si>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</si>
  <si>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</si>
  <si>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</si>
  <si>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</si>
  <si>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</si>
  <si>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</si>
  <si>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</si>
  <si>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</si>
  <si>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</si>
  <si>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</si>
  <si>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</si>
  <si>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</si>
  <si>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</si>
  <si>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</si>
  <si>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</si>
  <si>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</si>
  <si>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</si>
  <si>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</si>
  <si>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</si>
  <si>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</si>
  <si>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</si>
  <si>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</si>
  <si>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</si>
  <si>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</si>
  <si>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</si>
  <si>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</si>
  <si>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</si>
  <si>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</si>
  <si>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</si>
  <si>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</si>
  <si>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</si>
  <si>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</si>
  <si>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</si>
  <si>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</si>
  <si>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</si>
  <si>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</si>
  <si>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</si>
  <si>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</si>
  <si>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</si>
  <si>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</si>
  <si>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</si>
  <si>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</si>
  <si>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</si>
  <si>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</si>
  <si>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</si>
  <si>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</si>
  <si>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</si>
  <si>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</si>
  <si>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</si>
  <si>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</si>
  <si>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</si>
  <si>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</si>
  <si>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</si>
  <si>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</si>
  <si>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</si>
  <si>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</si>
  <si>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</si>
  <si>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</si>
  <si>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</si>
  <si>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</si>
  <si>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</si>
  <si>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</si>
  <si>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</si>
  <si>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</si>
  <si>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</si>
  <si>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</si>
  <si>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</si>
  <si>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</si>
  <si>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</si>
  <si>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</si>
  <si>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</si>
  <si>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</si>
  <si>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</si>
  <si>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</si>
  <si>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</si>
  <si>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</si>
  <si>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</si>
  <si>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</si>
  <si>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</si>
  <si>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</si>
  <si>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</si>
  <si>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</si>
  <si>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</si>
  <si>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</si>
  <si>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</si>
  <si>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</si>
  <si>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</si>
  <si>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</si>
  <si>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</si>
  <si>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</si>
  <si>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</si>
  <si>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</si>
  <si>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</si>
  <si>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</si>
  <si>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</si>
  <si>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</si>
  <si>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</si>
  <si>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</si>
  <si>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</si>
  <si>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</si>
  <si>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</si>
  <si>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</si>
  <si>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</si>
  <si>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</si>
  <si>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</si>
  <si>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</si>
  <si>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</si>
  <si>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</si>
  <si>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</si>
  <si>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</si>
  <si>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</si>
  <si>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</si>
  <si>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</si>
  <si>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</si>
  <si>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</si>
  <si>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</si>
  <si>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</si>
  <si>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</si>
  <si>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</si>
  <si>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</si>
  <si>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</si>
  <si>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</si>
  <si>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</si>
  <si>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</si>
  <si>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</si>
  <si>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</si>
  <si>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</si>
  <si>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</si>
  <si>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</si>
  <si>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</si>
  <si>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</si>
  <si>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</si>
  <si>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</si>
  <si>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</si>
  <si>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</si>
  <si>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</si>
  <si>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</si>
  <si>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</si>
  <si>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</si>
  <si>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</si>
  <si>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</si>
  <si>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</si>
  <si>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</si>
  <si>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</si>
  <si>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</si>
  <si>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</si>
  <si>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</si>
  <si>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</si>
  <si>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</si>
  <si>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</si>
  <si>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</si>
  <si>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</si>
  <si>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</si>
  <si>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</si>
  <si>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</si>
  <si>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</si>
  <si>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</si>
  <si>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</si>
  <si>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</si>
  <si>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</si>
  <si>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</si>
  <si>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</si>
  <si>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</si>
  <si>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</si>
  <si>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</si>
  <si>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</si>
  <si>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</si>
  <si>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</si>
  <si>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</si>
  <si>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</si>
  <si>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</si>
  <si>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</si>
  <si>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</si>
  <si>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</si>
  <si>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</si>
  <si>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</si>
  <si>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</si>
  <si>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</si>
  <si>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</si>
  <si>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</si>
  <si>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</si>
  <si>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</si>
  <si>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</si>
  <si>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</si>
  <si>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</si>
  <si>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</si>
  <si>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</si>
  <si>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</si>
  <si>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</si>
  <si>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</si>
  <si>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</si>
  <si>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</si>
  <si>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</si>
  <si>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</si>
  <si>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</si>
  <si>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</si>
  <si>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</si>
  <si>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</si>
  <si>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</si>
  <si>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</si>
  <si>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</si>
  <si>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</si>
  <si>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</si>
  <si>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</si>
  <si>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</si>
  <si>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</si>
  <si>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</si>
  <si>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</si>
  <si>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</si>
  <si>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</si>
  <si>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</si>
  <si>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</si>
  <si>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</si>
  <si>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</si>
  <si>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</si>
  <si>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</si>
  <si>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</si>
  <si>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</si>
  <si>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</si>
  <si>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</si>
  <si>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</si>
  <si>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</si>
  <si>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</si>
  <si>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</si>
  <si>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</si>
  <si>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</si>
  <si>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</si>
  <si>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</si>
  <si>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</si>
  <si>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</si>
  <si>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</si>
  <si>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</si>
  <si>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</si>
  <si>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</si>
  <si>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</si>
  <si>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</si>
  <si>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</si>
  <si>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</si>
  <si>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</si>
  <si>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</si>
  <si>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</si>
  <si>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</si>
  <si>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</si>
  <si>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</si>
  <si>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</si>
  <si>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</si>
  <si>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</si>
  <si>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</si>
  <si>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</si>
  <si>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</si>
  <si>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</si>
  <si>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</si>
  <si>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</si>
  <si>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</si>
  <si>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</si>
  <si>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</si>
  <si>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</si>
  <si>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</si>
  <si>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</si>
  <si>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</si>
  <si>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</si>
  <si>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</si>
  <si>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</si>
  <si>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</si>
  <si>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</si>
  <si>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</si>
  <si>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</si>
  <si>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</si>
  <si>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</si>
  <si>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</si>
  <si>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</si>
  <si>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</si>
  <si>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</si>
  <si>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</si>
  <si>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</si>
  <si>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</si>
  <si>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</si>
  <si>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</si>
  <si>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</si>
  <si>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</si>
  <si>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</si>
  <si>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</si>
  <si>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</si>
  <si>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</si>
  <si>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</si>
  <si>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</si>
  <si>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</si>
  <si>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</si>
  <si>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</si>
  <si>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</si>
  <si>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</si>
  <si>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</si>
  <si>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</si>
  <si>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</si>
  <si>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</si>
  <si>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</si>
  <si>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</si>
  <si>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</si>
  <si>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</si>
  <si>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</si>
  <si>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</si>
  <si>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</si>
  <si>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</si>
  <si>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</si>
  <si>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</si>
  <si>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</si>
  <si>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</si>
  <si>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</si>
  <si>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</si>
  <si>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</si>
  <si>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</si>
  <si>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</si>
  <si>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</si>
  <si>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</si>
  <si>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</si>
  <si>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</si>
  <si>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</si>
  <si>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</si>
  <si>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</si>
  <si>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</si>
  <si>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</si>
  <si>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</si>
  <si>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</si>
  <si>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</si>
  <si>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</si>
  <si>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</si>
  <si>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</si>
  <si>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</si>
  <si>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</si>
  <si>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</si>
  <si>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</si>
  <si>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</si>
  <si>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</si>
  <si>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</si>
  <si>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</si>
  <si>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</si>
  <si>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</si>
  <si>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</si>
  <si>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</si>
  <si>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</si>
  <si>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</si>
  <si>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</si>
  <si>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</si>
  <si>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</si>
  <si>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</si>
  <si>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</si>
  <si>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</si>
  <si>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</si>
  <si>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</si>
  <si>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</si>
  <si>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</si>
  <si>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</si>
  <si>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</si>
  <si>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</si>
  <si>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</si>
  <si>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</si>
  <si>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</si>
  <si>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</si>
  <si>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</si>
  <si>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</si>
  <si>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</si>
  <si>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</si>
  <si>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</si>
  <si>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</si>
  <si>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</si>
  <si>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</si>
  <si>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</si>
  <si>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</si>
  <si>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</si>
  <si>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</si>
  <si>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</si>
  <si>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</si>
  <si>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</si>
  <si>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</si>
  <si>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</si>
  <si>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</si>
  <si>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</si>
  <si>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</si>
  <si>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</si>
  <si>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</si>
  <si>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</si>
  <si>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</si>
  <si>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</si>
  <si>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</si>
  <si>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</si>
  <si>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</si>
  <si>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</si>
  <si>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</si>
  <si>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</si>
  <si>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</si>
  <si>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</si>
  <si>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</si>
  <si>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</si>
  <si>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</si>
  <si>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</si>
  <si>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</si>
  <si>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</si>
  <si>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</si>
  <si>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</si>
  <si>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</si>
  <si>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</si>
  <si>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</si>
  <si>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</si>
  <si>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</si>
  <si>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</si>
  <si>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</si>
  <si>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</si>
  <si>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</si>
  <si>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</si>
  <si>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</si>
  <si>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</si>
  <si>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</si>
  <si>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</si>
  <si>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</si>
  <si>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</si>
  <si>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</si>
  <si>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</si>
  <si>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</si>
  <si>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</si>
  <si>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</si>
  <si>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</si>
  <si>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</si>
  <si>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</si>
  <si>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</si>
  <si>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</si>
  <si>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</si>
  <si>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</si>
  <si>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</si>
  <si>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</si>
  <si>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</si>
  <si>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</si>
  <si>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</si>
  <si>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</si>
  <si>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</si>
  <si>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</si>
  <si>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</si>
  <si>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</si>
  <si>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</si>
  <si>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</si>
  <si>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</si>
  <si>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</si>
  <si>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</si>
  <si>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</si>
  <si>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</si>
  <si>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</si>
  <si>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</si>
  <si>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</si>
  <si>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</si>
  <si>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</si>
  <si>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</si>
  <si>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</si>
  <si>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</si>
  <si>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</si>
  <si>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</si>
  <si>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</si>
  <si>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</si>
  <si>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</si>
  <si>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</si>
  <si>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</si>
  <si>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</si>
  <si>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</si>
  <si>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</si>
  <si>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</si>
  <si>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</si>
  <si>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</si>
  <si>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</si>
  <si>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</si>
  <si>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</si>
  <si>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</si>
  <si>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</si>
  <si>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</si>
  <si>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</si>
  <si>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</si>
  <si>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</si>
  <si>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</si>
  <si>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</si>
  <si>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</si>
  <si>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</si>
  <si>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</si>
  <si>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</si>
  <si>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</si>
  <si>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</si>
  <si>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</si>
  <si>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</si>
  <si>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</si>
  <si>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</si>
  <si>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</si>
  <si>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</si>
  <si>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</si>
  <si>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</si>
  <si>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</si>
  <si>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</si>
  <si>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</si>
  <si>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</si>
  <si>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</si>
  <si>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</si>
  <si>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</si>
  <si>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</si>
  <si>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</si>
  <si>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</si>
  <si>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</si>
  <si>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</si>
  <si>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</si>
  <si>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</si>
  <si>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</si>
  <si>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</si>
  <si>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</si>
  <si>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</si>
  <si>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</si>
  <si>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</si>
  <si>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</si>
  <si>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</si>
  <si>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</si>
  <si>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</si>
  <si>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</si>
  <si>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</si>
  <si>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</si>
  <si>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</si>
  <si>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</si>
  <si>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</si>
  <si>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</si>
  <si>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</si>
  <si>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</si>
  <si>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</si>
  <si>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</si>
  <si>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</si>
  <si>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</si>
  <si>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</si>
  <si>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</si>
  <si>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</si>
  <si>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</si>
  <si>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</si>
  <si>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</si>
  <si>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</si>
  <si>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</si>
  <si>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</si>
  <si>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</si>
  <si>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</si>
  <si>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</si>
  <si>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</si>
  <si>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</si>
  <si>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</si>
  <si>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</si>
  <si>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</si>
  <si>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</si>
  <si>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</si>
  <si>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</si>
  <si>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</si>
  <si>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</si>
  <si>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</si>
  <si>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</si>
  <si>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</si>
  <si>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</si>
  <si>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</si>
  <si>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</si>
  <si>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</si>
  <si>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</si>
  <si>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</si>
  <si>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</si>
  <si>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</si>
  <si>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</si>
  <si>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</si>
  <si>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</si>
  <si>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</si>
  <si>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</si>
  <si>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</si>
  <si>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</si>
  <si>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</si>
  <si>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</si>
  <si>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</si>
  <si>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</si>
  <si>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</si>
  <si>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</si>
  <si>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</si>
  <si>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</si>
  <si>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</si>
  <si>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</si>
  <si>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</si>
  <si>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</si>
  <si>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</si>
  <si>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</si>
  <si>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</si>
  <si>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</si>
  <si>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</si>
  <si>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</si>
  <si>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</si>
  <si>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</si>
  <si>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</si>
  <si>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</si>
  <si>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</si>
  <si>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</si>
  <si>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</si>
  <si>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</si>
  <si>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</si>
  <si>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</si>
  <si>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</si>
  <si>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</si>
  <si>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</si>
  <si>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</si>
  <si>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</si>
  <si>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</si>
  <si>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</si>
  <si>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</si>
  <si>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</si>
  <si>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</si>
  <si>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</si>
  <si>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</si>
  <si>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</si>
  <si>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</si>
  <si>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</si>
  <si>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</si>
  <si>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</si>
  <si>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</si>
  <si>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</si>
  <si>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</si>
  <si>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</si>
  <si>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</si>
  <si>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</si>
  <si>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</si>
  <si>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</si>
  <si>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</si>
  <si>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</si>
  <si>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</si>
  <si>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</si>
  <si>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</si>
  <si>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</si>
  <si>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</si>
  <si>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</si>
  <si>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</si>
  <si>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</si>
  <si>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</si>
  <si>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</si>
  <si>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</si>
  <si>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</si>
  <si>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</si>
  <si>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</si>
  <si>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</si>
  <si>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</si>
  <si>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</si>
  <si>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</si>
  <si>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</si>
  <si>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</si>
  <si>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</si>
  <si>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</si>
  <si>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</si>
  <si>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</si>
  <si>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</si>
  <si>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</si>
  <si>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</si>
  <si>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</si>
  <si>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</si>
  <si>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</si>
  <si>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</si>
  <si>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</si>
  <si>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</si>
  <si>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</si>
  <si>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</si>
  <si>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</si>
  <si>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</si>
  <si>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</si>
  <si>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</si>
  <si>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</si>
  <si>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</si>
  <si>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</si>
  <si>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</si>
  <si>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</si>
  <si>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</si>
  <si>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</si>
  <si>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</si>
  <si>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</si>
  <si>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</si>
  <si>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</si>
  <si>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</si>
  <si>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</si>
  <si>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</si>
  <si>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</si>
  <si>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</si>
  <si>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</si>
  <si>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</si>
  <si>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</si>
  <si>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</si>
  <si>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</si>
  <si>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</si>
  <si>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</si>
  <si>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</si>
  <si>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</si>
  <si>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</si>
  <si>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</si>
  <si>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</si>
  <si>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</si>
  <si>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</si>
  <si>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</si>
  <si>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</si>
  <si>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</si>
  <si>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</si>
  <si>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</si>
  <si>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</si>
  <si>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</si>
  <si>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</si>
  <si>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</si>
  <si>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</si>
  <si>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</si>
  <si>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</si>
  <si>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</si>
  <si>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</si>
  <si>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</si>
  <si>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</si>
  <si>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</si>
  <si>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</si>
  <si>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</si>
  <si>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</si>
  <si>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</si>
  <si>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</si>
  <si>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</si>
  <si>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</si>
  <si>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</si>
  <si>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</si>
  <si>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</si>
  <si>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</si>
  <si>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</si>
  <si>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</si>
  <si>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</si>
  <si>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</si>
  <si>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</si>
  <si>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</si>
  <si>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</si>
  <si>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</si>
  <si>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</si>
  <si>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</si>
  <si>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</si>
  <si>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</si>
  <si>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</si>
  <si>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</si>
  <si>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</si>
  <si>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</si>
  <si>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</si>
  <si>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</si>
  <si>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</si>
  <si>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</si>
  <si>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</si>
  <si>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</si>
  <si>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</si>
  <si>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</si>
  <si>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</si>
  <si>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</si>
  <si>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</si>
  <si>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</si>
  <si>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</si>
  <si>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</si>
  <si>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</si>
  <si>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</si>
  <si>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</si>
  <si>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</si>
  <si>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</si>
  <si>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</si>
  <si>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</si>
  <si>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</si>
  <si>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</si>
  <si>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</si>
  <si>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</si>
  <si>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</si>
  <si>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</si>
  <si>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</si>
  <si>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</si>
  <si>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</si>
  <si>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</si>
  <si>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</si>
  <si>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</si>
  <si>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</si>
  <si>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</si>
  <si>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</si>
  <si>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</si>
  <si>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</si>
  <si>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</si>
  <si>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</si>
  <si>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</si>
  <si>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</si>
  <si>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</si>
  <si>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</si>
  <si>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</si>
  <si>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</si>
  <si>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</si>
  <si>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</si>
  <si>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</si>
  <si>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</si>
  <si>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</si>
  <si>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</si>
  <si>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</si>
  <si>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</si>
  <si>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</si>
  <si>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</si>
  <si>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</si>
  <si>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</si>
  <si>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</si>
  <si>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</si>
  <si>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</si>
  <si>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</si>
  <si>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</si>
  <si>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</si>
  <si>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</si>
  <si>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</si>
  <si>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</si>
  <si>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</si>
  <si>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</si>
  <si>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</si>
  <si>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</si>
  <si>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</si>
  <si>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</si>
  <si>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</si>
  <si>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</si>
  <si>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</si>
  <si>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</si>
  <si>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</si>
  <si>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</si>
  <si>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</si>
  <si>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</si>
  <si>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</si>
  <si>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</si>
  <si>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</si>
  <si>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</si>
  <si>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</si>
  <si>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</si>
  <si>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</si>
  <si>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</si>
  <si>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</si>
  <si>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</si>
  <si>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</si>
  <si>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</si>
  <si>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</si>
  <si>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</si>
  <si>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</si>
  <si>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</si>
  <si>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</si>
  <si>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</si>
  <si>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</si>
  <si>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</si>
  <si>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</si>
  <si>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</si>
  <si>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</si>
  <si>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</si>
  <si>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</si>
  <si>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</si>
  <si>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</si>
  <si>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</si>
  <si>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</si>
  <si>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</si>
  <si>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</si>
  <si>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</si>
  <si>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</si>
  <si>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</si>
  <si>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</si>
  <si>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</si>
  <si>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</si>
  <si>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</si>
  <si>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</si>
  <si>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</si>
  <si>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</si>
  <si>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</si>
  <si>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</si>
  <si>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</si>
  <si>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</si>
  <si>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</si>
  <si>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</si>
  <si>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</si>
  <si>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</si>
  <si>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</si>
  <si>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</si>
  <si>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</si>
  <si>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</si>
  <si>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</si>
  <si>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</si>
  <si>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</si>
  <si>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</si>
  <si>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</si>
  <si>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</si>
  <si>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</si>
  <si>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</si>
  <si>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</si>
  <si>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</si>
  <si>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</si>
  <si>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</si>
  <si>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</si>
  <si>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</si>
  <si>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</si>
  <si>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</si>
  <si>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</si>
  <si>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</si>
  <si>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</si>
  <si>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</si>
  <si>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</si>
  <si>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</si>
  <si>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</si>
  <si>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</si>
  <si>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</si>
  <si>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</si>
  <si>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</si>
  <si>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</si>
  <si>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</si>
  <si>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</si>
  <si>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</si>
  <si>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</si>
  <si>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</si>
  <si>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</si>
  <si>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</si>
  <si>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</si>
  <si>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</si>
  <si>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</si>
  <si>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</si>
  <si>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</si>
  <si>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</si>
  <si>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</si>
  <si>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</si>
  <si>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</si>
  <si>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</si>
  <si>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</si>
  <si>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</si>
  <si>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</si>
  <si>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</si>
  <si>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</si>
  <si>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</si>
  <si>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</si>
  <si>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</si>
  <si>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</si>
  <si>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</si>
  <si>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</si>
  <si>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</si>
  <si>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</si>
  <si>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</si>
  <si>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</si>
  <si>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</si>
  <si>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</si>
  <si>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</si>
  <si>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</si>
  <si>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</si>
  <si>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</si>
  <si>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</si>
  <si>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</si>
  <si>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</si>
  <si>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</si>
  <si>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</si>
  <si>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</si>
  <si>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</si>
  <si>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</si>
  <si>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</si>
  <si>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</si>
  <si>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</si>
  <si>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</si>
  <si>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</si>
  <si>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</si>
  <si>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</si>
  <si>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</si>
  <si>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</si>
  <si>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</si>
  <si>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</si>
  <si>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</si>
  <si>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</si>
  <si>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</si>
  <si>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</si>
  <si>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</si>
  <si>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</si>
  <si>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</si>
  <si>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</si>
  <si>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</si>
  <si>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</si>
  <si>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</si>
  <si>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</si>
  <si>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</si>
  <si>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</si>
  <si>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</si>
  <si>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</si>
  <si>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</si>
  <si>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</si>
  <si>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</si>
  <si>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</si>
  <si>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</si>
  <si>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</si>
  <si>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</si>
  <si>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</si>
  <si>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</si>
  <si>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</si>
  <si>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</si>
  <si>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</si>
  <si>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</si>
  <si>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</si>
  <si>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</si>
  <si>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</si>
  <si>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</si>
  <si>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</si>
  <si>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</si>
  <si>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</si>
  <si>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</si>
  <si>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</si>
  <si>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</si>
  <si>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</si>
  <si>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</si>
  <si>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</si>
  <si>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</si>
  <si>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</si>
  <si>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</si>
  <si>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</si>
  <si>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</si>
  <si>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</si>
  <si>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</si>
  <si>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</si>
  <si>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</si>
  <si>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</si>
  <si>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</si>
  <si>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</si>
  <si>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</si>
  <si>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</si>
  <si>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</si>
  <si>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</si>
  <si>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</si>
  <si>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</si>
  <si>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</si>
  <si>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</si>
  <si>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</si>
  <si>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</si>
  <si>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</si>
  <si>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</si>
  <si>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</si>
  <si>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</si>
  <si>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</si>
  <si>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</si>
  <si>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</si>
  <si>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</si>
  <si>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</si>
  <si>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</si>
  <si>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</si>
  <si>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</si>
  <si>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</si>
  <si>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</si>
  <si>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</si>
  <si>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</si>
  <si>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</si>
  <si>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</si>
  <si>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</si>
  <si>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</si>
  <si>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</si>
  <si>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</si>
  <si>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</si>
  <si>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</si>
  <si>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</si>
  <si>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</si>
  <si>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</si>
  <si>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</si>
  <si>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</si>
  <si>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</si>
  <si>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</si>
  <si>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</si>
  <si>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</si>
  <si>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</si>
  <si>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</si>
  <si>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</si>
  <si>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</si>
  <si>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</si>
  <si>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</si>
  <si>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</si>
  <si>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</si>
  <si>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</si>
  <si>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</si>
  <si>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</si>
  <si>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</si>
  <si>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</si>
  <si>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</si>
  <si>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</si>
  <si>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</si>
  <si>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</si>
  <si>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</si>
  <si>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</si>
  <si>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</si>
  <si>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</si>
  <si>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</si>
  <si>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</si>
  <si>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</si>
  <si>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</si>
  <si>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</si>
  <si>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</si>
  <si>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</si>
  <si>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</si>
  <si>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</si>
  <si>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</si>
  <si>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</si>
  <si>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</si>
  <si>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</si>
  <si>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</si>
  <si>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</si>
  <si>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</si>
  <si>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</si>
  <si>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</si>
  <si>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</si>
  <si>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</si>
  <si>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</si>
  <si>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</si>
  <si>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</si>
  <si>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</si>
  <si>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</si>
  <si>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</si>
  <si>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</si>
  <si>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</si>
  <si>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</si>
  <si>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</si>
  <si>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</si>
  <si>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</si>
  <si>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</si>
  <si>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</si>
  <si>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</si>
  <si>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</si>
  <si>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</si>
  <si>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</si>
  <si>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</si>
  <si>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</si>
  <si>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</si>
  <si>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</si>
  <si>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</si>
  <si>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</si>
  <si>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</si>
  <si>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</si>
  <si>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</si>
  <si>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</si>
  <si>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</si>
  <si>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</si>
  <si>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</si>
  <si>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</si>
  <si>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</si>
  <si>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</si>
  <si>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</si>
  <si>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</si>
  <si>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</si>
  <si>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</si>
  <si>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</si>
  <si>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</si>
  <si>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</si>
  <si>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</si>
  <si>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</si>
  <si>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</si>
  <si>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</si>
  <si>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</si>
  <si>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</si>
  <si>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</si>
  <si>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</si>
  <si>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</si>
  <si>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</si>
  <si>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</si>
  <si>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</si>
  <si>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</si>
  <si>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</si>
  <si>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</si>
  <si>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</si>
  <si>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</si>
  <si>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</si>
  <si>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</si>
  <si>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</si>
  <si>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</si>
  <si>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</si>
  <si>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</si>
  <si>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</si>
  <si>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</si>
  <si>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</si>
  <si>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</si>
  <si>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</si>
  <si>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</si>
  <si>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</si>
  <si>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</si>
  <si>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</si>
  <si>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</si>
  <si>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</si>
  <si>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</si>
  <si>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</si>
  <si>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</si>
  <si>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</si>
  <si>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</si>
  <si>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</si>
  <si>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</si>
  <si>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</si>
  <si>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</si>
  <si>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</si>
  <si>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</si>
  <si>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</si>
  <si>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</si>
  <si>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</si>
  <si>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</si>
  <si>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</si>
  <si>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</si>
  <si>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</si>
  <si>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</si>
  <si>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</si>
  <si>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</si>
  <si>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</si>
  <si>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</si>
  <si>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</si>
  <si>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</si>
  <si>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</si>
  <si>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</si>
  <si>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</si>
  <si>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</si>
  <si>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</si>
  <si>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</si>
  <si>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</si>
  <si>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</si>
  <si>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</si>
  <si>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</si>
  <si>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</si>
  <si>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</si>
  <si>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</si>
  <si>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</si>
  <si>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</si>
  <si>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</si>
  <si>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</si>
  <si>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</si>
  <si>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</si>
  <si>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</si>
  <si>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</si>
  <si>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</si>
  <si>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</si>
  <si>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</si>
  <si>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</si>
  <si>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</si>
  <si>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</si>
  <si>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</si>
  <si>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</si>
  <si>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</si>
  <si>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</si>
  <si>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</si>
  <si>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</si>
  <si>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</si>
  <si>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</si>
  <si>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</si>
  <si>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</si>
  <si>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</si>
  <si>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</si>
  <si>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</si>
  <si>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</si>
  <si>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</si>
  <si>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</si>
  <si>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</si>
  <si>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</si>
  <si>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</si>
  <si>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</si>
  <si>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</si>
  <si>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</si>
  <si>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</si>
  <si>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</si>
  <si>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</si>
  <si>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</si>
  <si>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</si>
  <si>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</si>
  <si>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</si>
  <si>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</si>
  <si>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</si>
  <si>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</si>
  <si>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</si>
  <si>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</si>
  <si>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</si>
  <si>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</si>
  <si>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</si>
  <si>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</si>
  <si>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</si>
  <si>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</si>
  <si>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</si>
  <si>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</si>
  <si>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</si>
  <si>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</si>
  <si>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</si>
  <si>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</si>
  <si>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</si>
  <si>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</si>
  <si>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</si>
  <si>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</si>
  <si>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</si>
  <si>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</si>
  <si>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</si>
  <si>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</si>
  <si>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</si>
  <si>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</si>
  <si>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</si>
  <si>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</si>
  <si>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</si>
  <si>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</si>
  <si>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</si>
  <si>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</si>
  <si>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</si>
  <si>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</si>
  <si>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</si>
  <si>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</si>
  <si>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</si>
  <si>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</si>
  <si>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</si>
  <si>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</si>
  <si>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</si>
  <si>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</si>
  <si>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</si>
  <si>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</si>
  <si>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</si>
  <si>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</si>
  <si>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</si>
  <si>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</si>
  <si>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</si>
  <si>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</si>
  <si>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</si>
  <si>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</si>
  <si>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</si>
  <si>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</si>
  <si>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</si>
  <si>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</si>
  <si>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</si>
  <si>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</si>
  <si>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</si>
  <si>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</si>
  <si>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</si>
  <si>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</si>
  <si>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</si>
  <si>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</si>
  <si>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</si>
  <si>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</si>
  <si>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</si>
  <si>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</si>
  <si>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</si>
  <si>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</si>
  <si>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</si>
  <si>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</si>
  <si>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</si>
  <si>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</si>
  <si>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</si>
  <si>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</si>
  <si>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</si>
  <si>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</si>
  <si>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</si>
  <si>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</si>
  <si>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</si>
  <si>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</si>
  <si>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</si>
  <si>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</si>
  <si>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</si>
  <si>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</si>
  <si>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</si>
  <si>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</si>
  <si>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</si>
  <si>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</si>
  <si>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</si>
  <si>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</si>
  <si>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</si>
  <si>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</si>
  <si>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</si>
  <si>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</si>
  <si>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</si>
  <si>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</si>
  <si>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</si>
  <si>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</si>
  <si>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</si>
  <si>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</si>
  <si>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</si>
  <si>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</si>
  <si>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</si>
  <si>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</si>
  <si>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</si>
  <si>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</si>
  <si>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</si>
  <si>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</si>
  <si>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</si>
  <si>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</si>
  <si>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</si>
  <si>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</si>
  <si>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</si>
  <si>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</si>
  <si>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</si>
  <si>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</si>
  <si>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</si>
  <si>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</si>
  <si>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</si>
  <si>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</si>
  <si>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</si>
  <si>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</si>
  <si>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</si>
  <si>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</si>
  <si>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</si>
  <si>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</si>
  <si>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</si>
  <si>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</si>
  <si>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</si>
  <si>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</si>
  <si>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</si>
  <si>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</si>
  <si>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</si>
  <si>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</si>
  <si>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</si>
  <si>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</si>
  <si>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</si>
  <si>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</si>
  <si>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</si>
  <si>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</si>
  <si>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</si>
  <si>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</si>
  <si>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</si>
  <si>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</si>
  <si>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</si>
  <si>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</si>
  <si>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</si>
  <si>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</si>
  <si>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</si>
  <si>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</si>
  <si>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</si>
  <si>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</si>
  <si>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</si>
  <si>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</si>
  <si>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</si>
  <si>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</si>
  <si>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</si>
  <si>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</si>
  <si>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</si>
  <si>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</si>
  <si>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</si>
  <si>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</si>
  <si>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</si>
  <si>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</si>
  <si>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</si>
  <si>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</si>
  <si>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</si>
  <si>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</si>
  <si>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</si>
  <si>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</si>
  <si>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</si>
  <si>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</si>
  <si>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</si>
  <si>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</si>
  <si>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</si>
  <si>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</si>
  <si>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</si>
  <si>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</si>
  <si>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</si>
  <si>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</si>
  <si>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</si>
  <si>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</si>
  <si>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</si>
  <si>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</si>
  <si>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</si>
  <si>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</si>
  <si>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</si>
  <si>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</si>
  <si>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</si>
  <si>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</si>
  <si>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</si>
  <si>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</si>
  <si>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</si>
  <si>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</si>
  <si>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</si>
  <si>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</si>
  <si>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</si>
  <si>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</si>
  <si>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</si>
  <si>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</si>
  <si>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</si>
  <si>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</si>
  <si>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</si>
  <si>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</si>
  <si>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</si>
  <si>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</si>
  <si>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</si>
  <si>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</si>
  <si>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</si>
  <si>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</si>
  <si>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</si>
  <si>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</si>
  <si>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</si>
  <si>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</si>
  <si>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</si>
  <si>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</si>
  <si>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</si>
  <si>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</si>
  <si>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</si>
  <si>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</si>
  <si>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</si>
  <si>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</si>
  <si>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</si>
  <si>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</si>
  <si>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</si>
  <si>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</si>
  <si>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</si>
  <si>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</si>
  <si>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</si>
  <si>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</si>
  <si>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</si>
  <si>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</si>
  <si>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</si>
  <si>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</si>
  <si>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</si>
  <si>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</si>
  <si>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</si>
  <si>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</si>
  <si>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</si>
  <si>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</si>
  <si>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</si>
  <si>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</si>
  <si>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</si>
  <si>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</si>
  <si>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</si>
  <si>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</si>
  <si>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</si>
  <si>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</si>
  <si>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</si>
  <si>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</si>
  <si>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</si>
  <si>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</si>
  <si>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</si>
  <si>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</si>
  <si>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</si>
  <si>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</si>
  <si>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</si>
  <si>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</si>
  <si>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</si>
  <si>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</si>
  <si>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</si>
  <si>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</si>
  <si>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</si>
  <si>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</si>
  <si>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</si>
  <si>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</si>
  <si>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</si>
  <si>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</si>
  <si>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</si>
  <si>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</si>
  <si>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</si>
  <si>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</si>
  <si>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</si>
  <si>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</si>
  <si>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</si>
  <si>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</si>
  <si>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</si>
  <si>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</si>
  <si>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</si>
  <si>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</si>
  <si>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</si>
  <si>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</si>
  <si>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</si>
  <si>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</si>
  <si>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</si>
  <si>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</si>
  <si>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</si>
  <si>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</si>
  <si>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</si>
  <si>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</si>
  <si>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</si>
  <si>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</si>
  <si>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</si>
  <si>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</si>
  <si>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</si>
  <si>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</si>
  <si>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</si>
  <si>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</si>
  <si>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</si>
  <si>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</si>
  <si>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</si>
  <si>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</si>
  <si>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</si>
  <si>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</si>
  <si>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</si>
  <si>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</si>
  <si>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</si>
  <si>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</si>
  <si>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</si>
  <si>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</si>
  <si>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</si>
  <si>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</si>
  <si>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</si>
  <si>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</si>
  <si>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</si>
  <si>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</si>
  <si>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</si>
  <si>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</si>
  <si>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</si>
  <si>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</si>
  <si>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</si>
  <si>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</si>
  <si>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</si>
  <si>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</si>
  <si>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</si>
  <si>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</si>
  <si>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</si>
  <si>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</si>
  <si>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</si>
  <si>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</si>
  <si>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</si>
  <si>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</si>
  <si>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</si>
  <si>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</si>
  <si>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</si>
  <si>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</si>
  <si>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</si>
  <si>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</si>
  <si>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</si>
  <si>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</si>
  <si>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</si>
  <si>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</si>
  <si>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</si>
  <si>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</si>
  <si>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</si>
  <si>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</si>
  <si>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</si>
  <si>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</si>
  <si>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</si>
  <si>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</si>
  <si>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</si>
  <si>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</si>
  <si>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</si>
  <si>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</si>
  <si>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</si>
  <si>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</si>
  <si>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</si>
  <si>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</si>
  <si>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</si>
  <si>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</si>
  <si>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</si>
  <si>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</si>
  <si>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</si>
  <si>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</si>
  <si>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</si>
  <si>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</si>
  <si>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</si>
  <si>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</si>
  <si>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</si>
  <si>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</si>
  <si>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</si>
  <si>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</si>
  <si>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</si>
  <si>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</si>
  <si>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</si>
  <si>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</si>
  <si>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</si>
  <si>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</si>
  <si>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</si>
  <si>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</si>
  <si>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</si>
  <si>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</si>
  <si>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</si>
  <si>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</si>
  <si>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</si>
  <si>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</si>
  <si>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</si>
  <si>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</si>
  <si>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</si>
  <si>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</si>
  <si>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</si>
  <si>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</si>
  <si>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</si>
  <si>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</si>
  <si>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</si>
  <si>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</si>
  <si>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</si>
  <si>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</si>
  <si>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</si>
  <si>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</si>
  <si>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</si>
  <si>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</si>
  <si>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</si>
  <si>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</si>
  <si>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</si>
  <si>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</si>
  <si>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</si>
  <si>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</si>
  <si>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</si>
  <si>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</si>
  <si>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</si>
  <si>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</si>
  <si>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</si>
  <si>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</si>
  <si>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</si>
  <si>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</si>
  <si>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</si>
  <si>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</si>
  <si>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</si>
  <si>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</si>
  <si>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</si>
  <si>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</si>
  <si>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</si>
  <si>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</si>
  <si>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</si>
  <si>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</si>
  <si>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</si>
  <si>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</si>
  <si>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</si>
  <si>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</si>
  <si>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</si>
  <si>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</si>
  <si>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</si>
  <si>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</si>
  <si>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</si>
  <si>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</si>
  <si>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</si>
  <si>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</si>
  <si>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</si>
  <si>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</si>
  <si>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</si>
  <si>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</si>
  <si>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</si>
  <si>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</si>
  <si>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</si>
  <si>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</si>
  <si>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</si>
  <si>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</si>
  <si>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</si>
  <si>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</si>
  <si>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</si>
  <si>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</si>
  <si>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</si>
  <si>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</si>
  <si>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</si>
  <si>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</si>
  <si>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</si>
  <si>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</si>
  <si>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</si>
  <si>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</si>
  <si>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</si>
  <si>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</si>
  <si>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</si>
  <si>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</si>
  <si>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</si>
  <si>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</si>
  <si>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</si>
  <si>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</si>
  <si>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</si>
  <si>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</si>
  <si>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</si>
  <si>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</si>
  <si>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</si>
  <si>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</si>
  <si>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</si>
  <si>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</si>
  <si>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</si>
  <si>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</si>
  <si>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</si>
  <si>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</si>
  <si>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</si>
  <si>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</si>
  <si>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</si>
  <si>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</si>
  <si>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</si>
  <si>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</si>
  <si>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</si>
  <si>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</si>
  <si>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</si>
  <si>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</si>
  <si>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</si>
  <si>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</si>
  <si>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</si>
  <si>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</si>
  <si>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</si>
  <si>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</si>
  <si>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</si>
  <si>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</si>
  <si>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</si>
  <si>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</si>
  <si>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</si>
  <si>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</si>
  <si>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</si>
  <si>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</si>
  <si>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</si>
  <si>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</si>
  <si>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</si>
  <si>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</si>
  <si>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</si>
  <si>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</si>
  <si>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</si>
  <si>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</si>
  <si>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</si>
  <si>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</si>
  <si>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</si>
  <si>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</si>
  <si>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</si>
  <si>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</si>
  <si>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</si>
  <si>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</si>
  <si>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</si>
  <si>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</si>
  <si>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</si>
  <si>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</si>
  <si>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</si>
  <si>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</si>
  <si>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</si>
  <si>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</si>
  <si>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</si>
  <si>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</si>
  <si>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</si>
  <si>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</si>
  <si>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</si>
  <si>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</si>
  <si>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</si>
  <si>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</si>
  <si>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</si>
  <si>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</si>
  <si>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</si>
  <si>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</si>
  <si>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</si>
  <si>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</si>
  <si>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</si>
  <si>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</si>
  <si>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</si>
  <si>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</si>
  <si>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</si>
  <si>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</si>
  <si>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</si>
  <si>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</si>
  <si>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</si>
  <si>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</si>
  <si>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</si>
  <si>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</si>
  <si>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</si>
  <si>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</si>
  <si>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</si>
  <si>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</si>
  <si>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</si>
  <si>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</si>
  <si>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</si>
  <si>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</si>
  <si>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</si>
  <si>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</si>
  <si>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</si>
  <si>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</si>
  <si>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</si>
  <si>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</si>
  <si>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</si>
  <si>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</si>
  <si>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</si>
  <si>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</si>
  <si>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</si>
  <si>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</si>
  <si>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</si>
  <si>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</si>
  <si>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</si>
  <si>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</si>
  <si>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</si>
  <si>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</si>
  <si>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</si>
  <si>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</si>
  <si>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</si>
  <si>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</si>
  <si>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</si>
  <si>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</si>
  <si>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</si>
  <si>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</si>
  <si>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</si>
  <si>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</si>
  <si>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</si>
  <si>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</si>
  <si>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</si>
  <si>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</si>
  <si>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</si>
  <si>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</si>
  <si>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</si>
  <si>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</si>
  <si>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</si>
  <si>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</si>
  <si>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</si>
  <si>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</si>
  <si>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</si>
  <si>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</si>
  <si>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</si>
  <si>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</si>
  <si>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</si>
  <si>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</si>
  <si>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</si>
  <si>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</si>
  <si>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</si>
  <si>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</si>
  <si>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</si>
  <si>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</si>
  <si>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</si>
  <si>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</si>
  <si>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</si>
  <si>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</si>
  <si>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</si>
  <si>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</si>
  <si>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</si>
  <si>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</si>
  <si>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</si>
  <si>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</si>
  <si>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</si>
  <si>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</si>
  <si>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</si>
  <si>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</si>
  <si>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</si>
  <si>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</si>
  <si>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</si>
  <si>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</si>
  <si>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</si>
  <si>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</si>
  <si>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</si>
  <si>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</si>
  <si>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</si>
  <si>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</si>
  <si>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</si>
  <si>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</si>
  <si>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</si>
  <si>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</si>
  <si>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</si>
  <si>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</si>
  <si>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</si>
  <si>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</si>
  <si>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</si>
  <si>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</si>
  <si>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</si>
  <si>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</si>
  <si>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</si>
  <si>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</si>
  <si>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</si>
  <si>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</si>
  <si>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</si>
  <si>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</si>
  <si>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</si>
  <si>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</si>
  <si>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</si>
  <si>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</si>
  <si>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</si>
  <si>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</si>
  <si>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</si>
  <si>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</si>
  <si>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</si>
  <si>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</si>
  <si>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</si>
  <si>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</si>
  <si>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</si>
  <si>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</si>
  <si>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</si>
  <si>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</si>
  <si>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</si>
  <si>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</si>
  <si>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</si>
  <si>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</si>
  <si>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</si>
  <si>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</si>
  <si>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</si>
  <si>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</si>
  <si>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</si>
  <si>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</si>
  <si>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</si>
  <si>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</si>
  <si>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</si>
  <si>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</si>
  <si>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</si>
  <si>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</si>
  <si>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</si>
  <si>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</si>
  <si>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</si>
  <si>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</si>
  <si>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</si>
  <si>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</si>
  <si>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</si>
  <si>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</si>
  <si>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</si>
  <si>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</si>
  <si>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</si>
  <si>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</si>
  <si>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</si>
  <si>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</si>
  <si>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</si>
  <si>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</si>
  <si>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</si>
  <si>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</si>
  <si>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</si>
  <si>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</si>
  <si>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</si>
  <si>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</si>
  <si>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</si>
  <si>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</si>
  <si>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</si>
  <si>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</si>
  <si>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</si>
  <si>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</si>
  <si>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</si>
  <si>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</si>
  <si>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</si>
  <si>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</si>
  <si>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</si>
  <si>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</si>
  <si>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</si>
  <si>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</si>
  <si>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</si>
  <si>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</si>
  <si>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</si>
  <si>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</si>
  <si>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</si>
  <si>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</si>
  <si>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</si>
  <si>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</si>
  <si>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</si>
  <si>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</si>
  <si>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</si>
  <si>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</si>
  <si>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</si>
  <si>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</si>
  <si>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</si>
  <si>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</si>
  <si>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</si>
  <si>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</si>
  <si>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</si>
  <si>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</si>
  <si>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</si>
  <si>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</si>
  <si>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</si>
  <si>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</si>
  <si>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</si>
  <si>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</si>
  <si>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</si>
  <si>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</si>
  <si>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</si>
  <si>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</si>
  <si>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</si>
  <si>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</si>
  <si>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</si>
  <si>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</si>
  <si>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</si>
  <si>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</si>
  <si>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</si>
  <si>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</si>
  <si>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</si>
  <si>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</si>
  <si>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</si>
  <si>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</si>
  <si>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</si>
  <si>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</si>
  <si>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</si>
  <si>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</si>
  <si>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</si>
  <si>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</si>
  <si>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</si>
  <si>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</si>
  <si>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</si>
  <si>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</si>
  <si>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</si>
  <si>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</si>
  <si>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</si>
  <si>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</si>
  <si>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</si>
  <si>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</si>
  <si>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</si>
  <si>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</si>
  <si>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</si>
  <si>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</si>
  <si>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</si>
  <si>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</si>
  <si>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</si>
  <si>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</si>
  <si>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</si>
  <si>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</si>
  <si>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</si>
  <si>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</si>
  <si>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</si>
  <si>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</si>
  <si>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</si>
  <si>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</si>
  <si>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</si>
  <si>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</si>
  <si>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</si>
  <si>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</si>
  <si>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</si>
  <si>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</si>
  <si>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</si>
  <si>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</si>
  <si>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</si>
  <si>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</si>
  <si>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</si>
  <si>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</si>
  <si>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</si>
  <si>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</si>
  <si>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</si>
  <si>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</si>
  <si>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</si>
  <si>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</si>
  <si>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</si>
  <si>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</si>
  <si>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</si>
  <si>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</si>
  <si>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</si>
  <si>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</si>
  <si>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</si>
  <si>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</si>
  <si>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</si>
  <si>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</si>
  <si>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</si>
  <si>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</si>
  <si>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</si>
  <si>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</si>
  <si>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</si>
  <si>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</si>
  <si>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</si>
  <si>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</si>
  <si>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</si>
  <si>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</si>
  <si>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</si>
  <si>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</si>
  <si>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</si>
  <si>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</si>
  <si>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</si>
  <si>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</si>
  <si>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</si>
  <si>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</si>
  <si>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</si>
  <si>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</si>
  <si>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</si>
  <si>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</si>
  <si>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</si>
  <si>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</si>
  <si>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</si>
  <si>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</si>
  <si>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</si>
  <si>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</si>
  <si>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</si>
  <si>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</si>
  <si>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</si>
  <si>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</si>
  <si>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</si>
  <si>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</si>
  <si>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</si>
  <si>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</si>
  <si>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</si>
  <si>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</si>
  <si>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</si>
  <si>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</si>
  <si>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</si>
  <si>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</si>
  <si>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</si>
  <si>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</si>
  <si>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</si>
  <si>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</si>
  <si>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</si>
  <si>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</si>
  <si>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</si>
  <si>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</si>
  <si>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</si>
  <si>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</si>
  <si>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</si>
  <si>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</si>
  <si>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</si>
  <si>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</si>
  <si>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</si>
  <si>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</si>
  <si>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</si>
  <si>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</si>
  <si>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</si>
  <si>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</si>
  <si>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</si>
  <si>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</si>
  <si>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</si>
  <si>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</si>
  <si>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</si>
  <si>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</si>
  <si>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</si>
  <si>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</si>
  <si>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</si>
  <si>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</si>
  <si>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</si>
  <si>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</si>
  <si>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</si>
  <si>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</si>
  <si>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</si>
  <si>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</si>
  <si>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</si>
  <si>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</si>
  <si>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</si>
  <si>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</si>
  <si>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</si>
  <si>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</si>
  <si>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</si>
  <si>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</si>
  <si>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</si>
  <si>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</si>
  <si>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</si>
  <si>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</si>
  <si>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</si>
  <si>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</si>
  <si>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</si>
  <si>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</si>
  <si>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</si>
  <si>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</si>
  <si>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</si>
  <si>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</si>
  <si>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</si>
  <si>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</si>
  <si>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</si>
  <si>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</si>
  <si>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</si>
  <si>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</si>
  <si>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</si>
  <si>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</si>
  <si>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</si>
  <si>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</si>
  <si>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</si>
  <si>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</si>
  <si>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</si>
  <si>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CouponCode Missing</t>
  </si>
  <si>
    <t>Metric</t>
  </si>
  <si>
    <t>ItensInCart</t>
  </si>
  <si>
    <t>Count</t>
  </si>
  <si>
    <t>Mean</t>
  </si>
  <si>
    <t>Median</t>
  </si>
  <si>
    <t>Min</t>
  </si>
  <si>
    <t>Max</t>
  </si>
  <si>
    <t>Std Dev</t>
  </si>
  <si>
    <t>Q1</t>
  </si>
  <si>
    <t>Q3</t>
  </si>
  <si>
    <t>OUTLIER DETECTION</t>
  </si>
  <si>
    <t>IQR</t>
  </si>
  <si>
    <t>Lower Fence</t>
  </si>
  <si>
    <t>Upper Fence</t>
  </si>
  <si>
    <t>Outlier Count</t>
  </si>
  <si>
    <t>ORDER STATUS</t>
  </si>
  <si>
    <t>PRODUCT SALES</t>
  </si>
  <si>
    <t>REFERRAL SOURCE</t>
  </si>
  <si>
    <t>PAYMENT METHOD</t>
  </si>
  <si>
    <t>EDA REPORT — E-COMMERCE DATASET</t>
  </si>
  <si>
    <t>1. PROBLEM STATEMENT</t>
  </si>
  <si>
    <t>2. METHODOLOGY</t>
  </si>
  <si>
    <t>What patterns, trends and outliers exist in 1,200</t>
  </si>
  <si>
    <t>- Used AVERAGE, MEDIAN, MIN, MAX, QUARTILE formulas</t>
  </si>
  <si>
    <t>e-commerce orders from January 2023 to June 2025?</t>
  </si>
  <si>
    <t>- Used COUNTIF to count categories</t>
  </si>
  <si>
    <t>- Used IQR method to detect outliers</t>
  </si>
  <si>
    <t>- Used Conditional Formatting to highlight outliers in red</t>
  </si>
  <si>
    <t>3. KEY FINDINGS</t>
  </si>
  <si>
    <t>FINDING 2 — TotalPrice is Right Skewed</t>
  </si>
  <si>
    <t>FINDING 1 — High Cancellation Rate (CRITICAL)</t>
  </si>
  <si>
    <t>Mean = $1,054 but Median = $824</t>
  </si>
  <si>
    <t>497 out of 1200 orders are cancelled or returned = 41.4%</t>
  </si>
  <si>
    <t>The median is more accurate for typical order value</t>
  </si>
  <si>
    <t>This means nearly half of all orders are lost revenue!</t>
  </si>
  <si>
    <t>A few expensive orders are pulling the average up</t>
  </si>
  <si>
    <t>FINDING 3 — Instagram is Top Channel</t>
  </si>
  <si>
    <t>FINDING 4 — Laptop has Highest Average Order Value</t>
  </si>
  <si>
    <t>Instagram brings 259 orders = 21.6% of all customers</t>
  </si>
  <si>
    <t>Laptop average = $1,111 per order</t>
  </si>
  <si>
    <t>More budget should go to Instagram marketing</t>
  </si>
  <si>
    <t>Phone has lowest average = $973 per order</t>
  </si>
  <si>
    <t>Focus on promoting premium products</t>
  </si>
  <si>
    <t>FINDING 5 — 8 Outlier Orders Found</t>
  </si>
  <si>
    <t>8 orders exceed $3,330 (Upper Fence)</t>
  </si>
  <si>
    <t>These are likely bulk purchases — worth investigating</t>
  </si>
  <si>
    <t>No low outliers found</t>
  </si>
  <si>
    <t>4. RECOMMENDATIONS</t>
  </si>
  <si>
    <t>1. Urgently investigate why 41.4% orders are cancelled/returned</t>
  </si>
  <si>
    <t>2. Use Median ($824) not Mean ($1,054) for reporting order value</t>
  </si>
  <si>
    <t>3. Increase marketing budget on Instagram</t>
  </si>
  <si>
    <t>4. Promote Laptops and Chairs — they generate highest revenue</t>
  </si>
  <si>
    <t>5. Fix data collection — 309 missing coupon code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</si>
</sst>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theme="0"/>
      <name val="Calibri"/>
      <scheme val="minor"/>
    </font>
    <font>
      <color rgb="FFEAECF0"/>
      <name val="Var(--font-mono)"/>
    </font>
    <font>
      <b/>
      <sz val="18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readingOrder="0"/>
    </xf>
    <xf borderId="0" fillId="0" fontId="5" numFmtId="0" xfId="0" applyFont="1"/>
    <xf borderId="1" fillId="0" fontId="4" numFmtId="0" xfId="0" applyAlignment="1" applyBorder="1" applyFont="1">
      <alignment readingOrder="0"/>
    </xf>
    <xf borderId="1" fillId="0" fontId="2" numFmtId="4" xfId="0" applyBorder="1" applyFont="1" applyNumberFormat="1"/>
    <xf borderId="1" fillId="0" fontId="2" numFmtId="4" xfId="0" applyAlignment="1" applyBorder="1" applyFont="1" applyNumberFormat="1">
      <alignment readingOrder="0"/>
    </xf>
    <xf borderId="0" fillId="3" fontId="5" numFmtId="0" xfId="0" applyAlignment="1" applyFill="1" applyFont="1">
      <alignment readingOrder="0"/>
    </xf>
    <xf borderId="0" fillId="0" fontId="2" numFmtId="4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6" numFmtId="0" xfId="0" applyFont="1"/>
    <xf borderId="0" fillId="4" fontId="7" numFmtId="0" xfId="0" applyAlignment="1" applyFill="1" applyFont="1">
      <alignment horizontal="left" readingOrder="0"/>
    </xf>
    <xf borderId="0" fillId="4" fontId="2" numFmtId="0" xfId="0" applyAlignment="1" applyFont="1">
      <alignment horizontal="left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Status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'EDA Stats'!$B$21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'EDA Stats'!$A$22:$A$26</c:f>
            </c:strRef>
          </c:cat>
          <c:val>
            <c:numRef>
              <c:f>'EDA Stats'!$B$22:$B$26</c:f>
              <c:numCache/>
            </c:numRef>
          </c:val>
        </c:ser>
        <c:axId val="1717878611"/>
        <c:axId val="551728697"/>
      </c:barChart>
      <c:catAx>
        <c:axId val="1717878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728697"/>
      </c:catAx>
      <c:valAx>
        <c:axId val="5517286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8786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Sales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'EDA Stats'!$B$28</c:f>
            </c:strRef>
          </c:tx>
          <c:spPr>
            <a:solidFill>
              <a:srgbClr val="93C47D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'EDA Stats'!$A$29:$A$35</c:f>
            </c:strRef>
          </c:cat>
          <c:val>
            <c:numRef>
              <c:f>'EDA Stats'!$B$29:$B$35</c:f>
              <c:numCache/>
            </c:numRef>
          </c:val>
        </c:ser>
        <c:axId val="314824132"/>
        <c:axId val="603936306"/>
      </c:barChart>
      <c:catAx>
        <c:axId val="3148241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936306"/>
      </c:catAx>
      <c:valAx>
        <c:axId val="6039363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8241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Referral Source Analysis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'EDA Stats'!$B$37</c:f>
            </c:strRef>
          </c:tx>
          <c:spPr>
            <a:solidFill>
              <a:srgbClr val="FF99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'EDA Stats'!$A$38:$A$42</c:f>
            </c:strRef>
          </c:cat>
          <c:val>
            <c:numRef>
              <c:f>'EDA Stats'!$B$38:$B$42</c:f>
              <c:numCache/>
            </c:numRef>
          </c:val>
        </c:ser>
        <c:axId val="645656969"/>
        <c:axId val="1462053360"/>
      </c:barChart>
      <c:catAx>
        <c:axId val="6456569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REFERRAL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053360"/>
      </c:catAx>
      <c:valAx>
        <c:axId val="14620533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6569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14</xdr:row>
      <xdr:rowOff>19050</xdr:rowOff>
    </xdr:from>
    <xdr:ext cx="4791075" cy="2400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28</xdr:row>
      <xdr:rowOff>28575</xdr:rowOff>
    </xdr:from>
    <xdr:ext cx="4838700" cy="2400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42</xdr:row>
      <xdr:rowOff>38100</xdr:rowOff>
    </xdr:from>
    <xdr:ext cx="4791075" cy="2543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conditionalFormatting sqref="N1:N1201">
    <cfRule type="cellIs" dxfId="0" priority="1" operator="greaterThan">
      <formula>3330.41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4283</v>
      </c>
      <c r="B1" s="5">
        <f>COUNTBLANK(Sheet1!L2:L1201)</f>
        <v>309</v>
      </c>
    </row>
    <row r="2">
      <c r="A2" s="6"/>
    </row>
    <row r="3">
      <c r="A3" s="6"/>
    </row>
    <row r="4">
      <c r="A4" s="6"/>
    </row>
    <row r="5">
      <c r="A5" s="7" t="s">
        <v>4284</v>
      </c>
      <c r="B5" s="7" t="s">
        <v>4</v>
      </c>
      <c r="C5" s="7" t="s">
        <v>5</v>
      </c>
      <c r="D5" s="7" t="s">
        <v>4285</v>
      </c>
      <c r="E5" s="7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4286</v>
      </c>
      <c r="B6" s="10">
        <f>COUNTA(Sheet1!E2:E1201)</f>
        <v>1200</v>
      </c>
      <c r="C6" s="11">
        <f>COUNTA(Sheet1!F2:F1201)</f>
        <v>1200</v>
      </c>
      <c r="D6" s="10">
        <f>COUNTA(Sheet1!K2:K1201)</f>
        <v>1200</v>
      </c>
      <c r="E6" s="10">
        <f>COUNTA(Sheet1!N2:N1201)</f>
        <v>1200</v>
      </c>
    </row>
    <row r="7">
      <c r="A7" s="9" t="s">
        <v>4287</v>
      </c>
      <c r="B7" s="10">
        <f>AVERAGE(Sheet1!E2:E1201)</f>
        <v>2.945833333</v>
      </c>
      <c r="C7" s="10">
        <f>AVERAGE(Sheet1!F2:F1201)</f>
        <v>356.41275</v>
      </c>
      <c r="D7" s="10">
        <f>AVERAGE(Sheet1!K2:K1201)</f>
        <v>5.485</v>
      </c>
      <c r="E7" s="10">
        <f>AVERAGE(Sheet1!N2:N1201)</f>
        <v>1053.9683</v>
      </c>
    </row>
    <row r="8">
      <c r="A8" s="9" t="s">
        <v>4288</v>
      </c>
      <c r="B8" s="10">
        <f>MEDIAN(Sheet1!E2:E1201)</f>
        <v>3</v>
      </c>
      <c r="C8" s="10">
        <f>MEDIAN(Sheet1!F2:F1201)</f>
        <v>364.21</v>
      </c>
      <c r="D8" s="10">
        <f>MEDIAN(Sheet1!K2:K1201)</f>
        <v>5</v>
      </c>
      <c r="E8" s="10">
        <f>MEDIAN(Sheet1!N2:N1201)</f>
        <v>823.615</v>
      </c>
    </row>
    <row r="9">
      <c r="A9" s="9" t="s">
        <v>4289</v>
      </c>
      <c r="B9" s="10">
        <f>MIN(Sheet1!E2:E1201)</f>
        <v>1</v>
      </c>
      <c r="C9" s="10">
        <f>MIN(Sheet1!F2:F1201)</f>
        <v>11.39</v>
      </c>
      <c r="D9" s="10">
        <f>MIN(Sheet1!K2:K1201)</f>
        <v>1</v>
      </c>
      <c r="E9" s="10">
        <f>MIN(Sheet1!N2:N1201)</f>
        <v>11.39</v>
      </c>
    </row>
    <row r="10">
      <c r="A10" s="9" t="s">
        <v>4290</v>
      </c>
      <c r="B10" s="10">
        <f>MAX(Sheet1!E2:E1201)</f>
        <v>5</v>
      </c>
      <c r="C10" s="10">
        <f>MAX(Sheet1!F2:F1201)</f>
        <v>699.93</v>
      </c>
      <c r="D10" s="10">
        <f>MAX(Sheet1!K2:K1201)</f>
        <v>10</v>
      </c>
      <c r="E10" s="10">
        <f>MAX(Sheet1!N2:N1201)</f>
        <v>3456.4</v>
      </c>
    </row>
    <row r="11">
      <c r="A11" s="9" t="s">
        <v>4291</v>
      </c>
      <c r="B11" s="10">
        <f>STDEV(Sheet1!E2:E1201)</f>
        <v>1.407557099</v>
      </c>
      <c r="C11" s="10">
        <f>STDEV(Sheet1!F2:F1201)</f>
        <v>197.1771464</v>
      </c>
      <c r="D11" s="10">
        <f>STDEV(Sheet1!K2:K1201)</f>
        <v>2.28198332</v>
      </c>
      <c r="E11" s="10">
        <f>STDEV(Sheet1!N2:N1201)</f>
        <v>819.8565584</v>
      </c>
    </row>
    <row r="12">
      <c r="A12" s="9" t="s">
        <v>4292</v>
      </c>
      <c r="B12" s="10">
        <f>QUARTILE(Sheet1!E2:E1201,1)</f>
        <v>2</v>
      </c>
      <c r="C12" s="10">
        <f>QUARTILE(Sheet1!F2:F1201,1)</f>
        <v>186.0625</v>
      </c>
      <c r="D12" s="10">
        <f>QUARTILE(Sheet1!K2:K1201,1)</f>
        <v>4</v>
      </c>
      <c r="E12" s="10">
        <f>QUARTILE(Sheet1!N2:N1201,1)</f>
        <v>410.52</v>
      </c>
    </row>
    <row r="13">
      <c r="A13" s="9" t="s">
        <v>4293</v>
      </c>
      <c r="B13" s="10">
        <f>QUARTILE(Sheet1!F2:F1201,3)</f>
        <v>521.57</v>
      </c>
      <c r="C13" s="10">
        <f>QUARTILE(Sheet1!F2:F1201,3)</f>
        <v>521.57</v>
      </c>
      <c r="D13" s="10">
        <f>QUARTILE(Sheet1!K2:K1201,3)</f>
        <v>7</v>
      </c>
      <c r="E13" s="10">
        <f>QUARTILE(Sheet1!N2:N1201,3)</f>
        <v>1578.475</v>
      </c>
    </row>
    <row r="14">
      <c r="A14" s="6"/>
    </row>
    <row r="15">
      <c r="A15" s="12" t="s">
        <v>4294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4295</v>
      </c>
      <c r="E16" s="13">
        <f>E13-E12</f>
        <v>1167.955</v>
      </c>
    </row>
    <row r="17">
      <c r="A17" s="4" t="s">
        <v>4296</v>
      </c>
      <c r="E17" s="13">
        <f>E12-(1.5*E16)</f>
        <v>-1341.4125</v>
      </c>
    </row>
    <row r="18">
      <c r="A18" s="4" t="s">
        <v>4297</v>
      </c>
      <c r="E18" s="13">
        <f>E13+(1.5*E16)</f>
        <v>3330.4075</v>
      </c>
    </row>
    <row r="19">
      <c r="A19" s="4" t="s">
        <v>4298</v>
      </c>
      <c r="E19" s="13">
        <f>COUNTIF(Sheet1!N2:N1201,"&gt;"&amp;E18)</f>
        <v>8</v>
      </c>
    </row>
    <row r="20">
      <c r="A20" s="6"/>
    </row>
    <row r="21">
      <c r="A21" s="12" t="s">
        <v>4299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" t="s">
        <v>50</v>
      </c>
      <c r="B22" s="15">
        <f>COUNTIF(Sheet1!I:I,"Delivered")</f>
        <v>231</v>
      </c>
    </row>
    <row r="23">
      <c r="A23" s="14" t="s">
        <v>35</v>
      </c>
      <c r="B23" s="15">
        <f>COUNTIF(Sheet1!I:I,"Cancelled")</f>
        <v>250</v>
      </c>
    </row>
    <row r="24">
      <c r="A24" s="14" t="s">
        <v>43</v>
      </c>
      <c r="B24" s="15">
        <f>COUNTIF(Sheet1!I:I,"Returned")</f>
        <v>247</v>
      </c>
    </row>
    <row r="25">
      <c r="A25" s="14" t="s">
        <v>19</v>
      </c>
      <c r="B25" s="15">
        <f>COUNTIF(Sheet1!I:I,"Shipped")</f>
        <v>235</v>
      </c>
    </row>
    <row r="26">
      <c r="A26" s="14" t="s">
        <v>89</v>
      </c>
      <c r="B26" s="15">
        <f>COUNTIF(Sheet1!I:I,"Pending")</f>
        <v>237</v>
      </c>
    </row>
    <row r="27">
      <c r="A27" s="6"/>
    </row>
    <row r="28">
      <c r="A28" s="12" t="s">
        <v>4300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4" t="s">
        <v>48</v>
      </c>
      <c r="B29" s="15">
        <f>COUNTIF(Sheet1!D:D,"Printer")</f>
        <v>181</v>
      </c>
    </row>
    <row r="30">
      <c r="A30" s="14" t="s">
        <v>32</v>
      </c>
      <c r="B30" s="15">
        <f>COUNTIF(Sheet1!D:D,"Tablet")</f>
        <v>179</v>
      </c>
    </row>
    <row r="31">
      <c r="A31" s="14" t="s">
        <v>41</v>
      </c>
      <c r="B31" s="15">
        <f>COUNTIF(Sheet1!D:D,"Chair")</f>
        <v>178</v>
      </c>
    </row>
    <row r="32">
      <c r="A32" s="16" t="s">
        <v>58</v>
      </c>
      <c r="B32" s="15">
        <f>COUNTIF(Sheet1!D:D,"Laptop")</f>
        <v>173</v>
      </c>
    </row>
    <row r="33">
      <c r="A33" s="16" t="s">
        <v>73</v>
      </c>
      <c r="B33" s="15">
        <f>COUNTIF(Sheet1!D:D,"Desk")</f>
        <v>170</v>
      </c>
    </row>
    <row r="34">
      <c r="A34" s="16" t="s">
        <v>16</v>
      </c>
      <c r="B34" s="15">
        <f>COUNTIF(Sheet1!D:D,"Monitor")</f>
        <v>163</v>
      </c>
    </row>
    <row r="35">
      <c r="A35" s="16" t="s">
        <v>25</v>
      </c>
      <c r="B35" s="15">
        <f>COUNTIF(Sheet1!D:D,"Phone")</f>
        <v>156</v>
      </c>
    </row>
    <row r="36">
      <c r="A36" s="6"/>
    </row>
    <row r="37">
      <c r="A37" s="12" t="s">
        <v>4301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4" t="s">
        <v>22</v>
      </c>
      <c r="B38" s="15">
        <f>COUNTIF(Sheet1!M:M,"Instagram")</f>
        <v>259</v>
      </c>
    </row>
    <row r="39">
      <c r="A39" s="14" t="s">
        <v>38</v>
      </c>
      <c r="B39" s="15">
        <f>COUNTIF(Sheet1!M:M,"Email")</f>
        <v>250</v>
      </c>
    </row>
    <row r="40">
      <c r="A40" s="14" t="s">
        <v>76</v>
      </c>
      <c r="B40" s="15">
        <f>COUNTIF(Sheet1!M:M,"Google")</f>
        <v>241</v>
      </c>
    </row>
    <row r="41">
      <c r="A41" s="14" t="s">
        <v>45</v>
      </c>
      <c r="B41" s="15">
        <f>COUNTIF(Sheet1!M:M,"Facebook")</f>
        <v>228</v>
      </c>
    </row>
    <row r="42">
      <c r="A42" s="14" t="s">
        <v>29</v>
      </c>
      <c r="B42" s="15">
        <f>COUNTIF(Sheet1!M:M,"Referral")</f>
        <v>222</v>
      </c>
    </row>
    <row r="43">
      <c r="A43" s="6"/>
      <c r="B43" s="17"/>
    </row>
    <row r="44">
      <c r="A44" s="12" t="s">
        <v>4302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4" t="s">
        <v>27</v>
      </c>
      <c r="B45" s="15">
        <f>COUNTIF(Sheet1!H:H,"Online")</f>
        <v>258</v>
      </c>
    </row>
    <row r="46">
      <c r="A46" s="14" t="s">
        <v>65</v>
      </c>
      <c r="B46" s="15">
        <f>COUNTIF(Sheet1!H:H,"Cash")</f>
        <v>246</v>
      </c>
    </row>
    <row r="47">
      <c r="A47" s="14" t="s">
        <v>34</v>
      </c>
      <c r="B47" s="15">
        <f>COUNTIF(Sheet1!H:H,"Credit Card")</f>
        <v>234</v>
      </c>
    </row>
    <row r="48">
      <c r="A48" s="14" t="s">
        <v>18</v>
      </c>
      <c r="B48" s="15">
        <f>COUNTIF(Sheet1!H:H,"Debit Card")</f>
        <v>232</v>
      </c>
    </row>
    <row r="49">
      <c r="A49" s="14" t="s">
        <v>60</v>
      </c>
      <c r="B49" s="15">
        <f>COUNTIF(Sheet1!H:H,"Gift Card")</f>
        <v>230</v>
      </c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4303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3">
      <c r="A3" s="4" t="s">
        <v>4304</v>
      </c>
      <c r="G3" s="4" t="s">
        <v>4305</v>
      </c>
    </row>
    <row r="4">
      <c r="A4" s="4" t="s">
        <v>4306</v>
      </c>
      <c r="G4" s="5" t="s">
        <v>4307</v>
      </c>
    </row>
    <row r="5">
      <c r="A5" s="4" t="s">
        <v>4308</v>
      </c>
      <c r="G5" s="5" t="s">
        <v>4309</v>
      </c>
    </row>
    <row r="6">
      <c r="A6" s="4"/>
      <c r="G6" s="5" t="s">
        <v>4310</v>
      </c>
    </row>
    <row r="7">
      <c r="G7" s="5" t="s">
        <v>4311</v>
      </c>
    </row>
    <row r="9">
      <c r="A9" s="20" t="s">
        <v>4312</v>
      </c>
      <c r="B9" s="21"/>
      <c r="C9" s="6"/>
      <c r="D9" s="6"/>
      <c r="E9" s="6"/>
      <c r="F9" s="6"/>
      <c r="G9" s="21" t="s">
        <v>4313</v>
      </c>
      <c r="H9" s="2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1" t="s">
        <v>4314</v>
      </c>
      <c r="B10" s="21"/>
      <c r="C10" s="6"/>
      <c r="D10" s="6"/>
      <c r="E10" s="6"/>
      <c r="F10" s="6"/>
      <c r="G10" s="22" t="s">
        <v>4315</v>
      </c>
      <c r="H10" s="2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2" t="s">
        <v>4316</v>
      </c>
      <c r="B11" s="22"/>
      <c r="G11" s="22" t="s">
        <v>4317</v>
      </c>
      <c r="H11" s="22"/>
    </row>
    <row r="12">
      <c r="A12" s="22" t="s">
        <v>4318</v>
      </c>
      <c r="B12" s="22"/>
      <c r="G12" s="22" t="s">
        <v>4319</v>
      </c>
      <c r="H12" s="22"/>
    </row>
    <row r="14">
      <c r="A14" s="21" t="s">
        <v>4320</v>
      </c>
      <c r="B14" s="6"/>
      <c r="C14" s="6"/>
      <c r="D14" s="6"/>
      <c r="E14" s="6"/>
      <c r="F14" s="6"/>
      <c r="G14" s="4" t="s">
        <v>4321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2" t="s">
        <v>4322</v>
      </c>
      <c r="G15" s="5" t="s">
        <v>4323</v>
      </c>
    </row>
    <row r="16">
      <c r="A16" s="22" t="s">
        <v>4324</v>
      </c>
      <c r="G16" s="5" t="s">
        <v>4325</v>
      </c>
    </row>
    <row r="17">
      <c r="G17" s="5" t="s">
        <v>4326</v>
      </c>
    </row>
    <row r="19">
      <c r="A19" s="21" t="s">
        <v>4327</v>
      </c>
    </row>
    <row r="20">
      <c r="A20" s="22" t="s">
        <v>4328</v>
      </c>
    </row>
    <row r="21">
      <c r="A21" s="22" t="s">
        <v>4329</v>
      </c>
    </row>
    <row r="22">
      <c r="A22" s="22" t="s">
        <v>4330</v>
      </c>
    </row>
    <row r="24">
      <c r="A24" s="4" t="s">
        <v>4331</v>
      </c>
    </row>
    <row r="25">
      <c r="A25" s="5" t="s">
        <v>4332</v>
      </c>
    </row>
    <row r="26">
      <c r="A26" s="5" t="s">
        <v>4333</v>
      </c>
    </row>
    <row r="27">
      <c r="A27" s="5" t="s">
        <v>4334</v>
      </c>
    </row>
    <row r="28">
      <c r="A28" s="5" t="s">
        <v>4335</v>
      </c>
    </row>
    <row r="29">
      <c r="A29" s="5" t="s">
        <v>4336</v>
      </c>
    </row>
  </sheetData>
  <drawing r:id="rId1"/>
</worksheet>
</file>